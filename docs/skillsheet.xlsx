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013e38b9d64a6b" /></Relationships>
</file>

<file path=xl/workbook.xml><?xml version="1.0" encoding="utf-8"?>
<workbook xmlns="http://schemas.openxmlformats.org/spreadsheetml/2006/main" xmlns:ns1="http://schemas.openxmlformats.org/officeDocument/2006/relationships">
  <sheets>
    <sheet name="スキルシート" sheetId="1" ns1:id="R957171ba0c1c4672"/>
    <sheet name="技術スキル一覧" sheetId="2" ns1:id="Ra615defef81e435b"/>
  </sheets>
  <definedNames>
    <definedName name="_xlnm.Print_Area" localSheetId="0">'スキルシート'!$A$1:$Q$52</definedName>
    <definedName name="_xlnm.Print_Titles" localSheetId="0">'スキルシート'!$11:$12</definedName>
    <definedName name="_xlnm.Print_Area" localSheetId="1">'技術スキル一覧'!$A$1:$E$37</definedName>
    <definedName name="_xlnm.Print_Titles" localSheetId="1">'技術スキル一覧'!$1:$1</definedName>
  </definedNames>
</workbook>
</file>

<file path=xl/sharedStrings.xml><?xml version="1.0" encoding="utf-8"?>
<x:sst xmlns:x="http://schemas.openxmlformats.org/spreadsheetml/2006/main"/>
</file>

<file path=xl/styles.xml><?xml version="1.0" encoding="utf-8"?>
<styleSheet xmlns="http://schemas.openxmlformats.org/spreadsheetml/2006/main">
  <numFmts count="7">
    <numFmt numFmtId="164" formatCode="yyyy&quot;年&quot;m&quot;月&quot;;@"/>
    <numFmt numFmtId="165" formatCode="&quot;(&quot;#&quot;ヶ月間)&quot;"/>
    <numFmt numFmtId="166" formatCode="&quot;（&quot;#&quot;ヶ月間）&quot;"/>
    <numFmt numFmtId="167" formatCode="yyyy&quot;年&quot;m&quot;月&quot;d&quot;日&quot;;@"/>
    <numFmt numFmtId="168" formatCode="&quot;&quot;#&quot;歳&quot;"/>
    <numFmt numFmtId="169" formatCode="yyyy/mm"/>
    <numFmt numFmtId="170" formatCode="&quot;現在&quot;"/>
  </numFmts>
  <fonts count="14">
    <font>
      <sz val="11"/>
      <name val="ＭＳ Ｐゴシック"/>
    </font>
    <font>
      <sz val="11"/>
      <name val="ＭＳ 明朝"/>
    </font>
    <font>
      <b/>
      <sz val="22"/>
      <name val="ＭＳ 明朝"/>
    </font>
    <font>
      <b/>
      <sz val="11"/>
      <name val="ＭＳ 明朝"/>
    </font>
    <font>
      <sz val="11"/>
      <color indexed="22"/>
      <name val="ＭＳ 明朝"/>
    </font>
    <font>
      <b/>
      <sz val="11"/>
      <color indexed="9"/>
      <name val="ＭＳ Ｐゴシック"/>
    </font>
    <font>
      <sz val="11"/>
      <color indexed="52"/>
      <name val="ＭＳ Ｐゴシック"/>
    </font>
    <font>
      <sz val="11"/>
      <name val="ＭＳ Ｐゴシック"/>
    </font>
    <font>
      <b/>
      <sz val="10"/>
      <name val="ＭＳ 明朝"/>
    </font>
    <font>
      <sz val="9"/>
      <name val="ＭＳ 明朝"/>
    </font>
    <font>
      <b/>
      <sz val="10"/>
      <color rgb="FFFFFFFF"/>
      <name val="ＭＳ ゴシック"/>
    </font>
    <font>
      <sz val="9"/>
      <name val="ＭＳ ゴシック"/>
    </font>
    <font>
      <b/>
      <sz val="9"/>
      <name val="ＭＳ ゴシック"/>
    </font>
    <font>
      <sz val="8"/>
      <color rgb="FF666666"/>
      <name val="ＭＳ ゴシック"/>
    </font>
  </fonts>
  <fills count="6">
    <fill>
      <patternFill patternType="none"/>
    </fill>
    <fill>
      <patternFill patternType="gray125"/>
    </fill>
    <fill>
      <patternFill patternType="solid">
        <fgColor indexed="55"/>
      </patternFill>
    </fill>
    <fill>
      <patternFill patternType="solid">
        <fgColor indexed="44"/>
      </patternFill>
    </fill>
    <fill>
      <patternFill patternType="solid">
        <fgColor rgb="FF1F4E78"/>
      </patternFill>
    </fill>
    <fill>
      <patternFill patternType="solid">
        <fgColor rgb="FFDDEBF7"/>
      </patternFill>
    </fill>
  </fills>
  <borders count="46">
    <border/>
    <border>
      <left style="double">
        <color indexed="63"/>
      </left>
      <right style="double">
        <color indexed="63"/>
      </right>
      <top style="double">
        <color indexed="63"/>
      </top>
      <bottom style="double">
        <color indexed="63"/>
      </bottom>
    </border>
    <border>
      <bottom style="double">
        <color indexed="52"/>
      </bottom>
    </border>
    <border>
      <left style="medium">
        <color indexed="58"/>
      </left>
      <right style="thin">
        <color indexed="58"/>
      </right>
      <top style="medium">
        <color indexed="58"/>
      </top>
      <bottom style="thin">
        <color indexed="58"/>
      </bottom>
    </border>
    <border>
      <top style="medium">
        <color indexed="64"/>
      </top>
    </border>
    <border>
      <right style="thin">
        <color indexed="64"/>
      </right>
      <top style="medium">
        <color indexed="64"/>
      </top>
    </border>
    <border>
      <left style="thin">
        <color indexed="64"/>
      </left>
      <right style="thin">
        <color indexed="64"/>
      </right>
      <top style="medium">
        <color indexed="64"/>
      </top>
      <bottom style="thin">
        <color indexed="64"/>
      </bottom>
    </border>
    <border>
      <left style="thin">
        <color indexed="64"/>
      </left>
      <right style="thin">
        <color indexed="64"/>
      </right>
      <top style="thin">
        <color indexed="64"/>
      </top>
      <bottom style="double">
        <color indexed="64"/>
      </bottom>
    </border>
    <border>
      <left style="hair">
        <color indexed="64"/>
      </left>
      <right style="hair">
        <color indexed="64"/>
      </right>
    </border>
    <border>
      <left style="hair">
        <color indexed="64"/>
      </left>
      <right style="hair">
        <color indexed="64"/>
      </right>
      <bottom style="hair">
        <color indexed="64"/>
      </bottom>
    </border>
    <border>
      <right style="hair">
        <color indexed="64"/>
      </right>
    </border>
    <border>
      <top style="hair">
        <color indexed="64"/>
      </top>
    </border>
    <border>
      <right style="hair">
        <color indexed="64"/>
      </right>
      <top style="hair">
        <color indexed="64"/>
      </top>
    </border>
    <border>
      <left style="medium">
        <color indexed="64"/>
      </left>
      <right style="hair">
        <color indexed="64"/>
      </right>
    </border>
    <border>
      <right style="hair">
        <color indexed="64"/>
      </right>
      <top style="thin">
        <color indexed="64"/>
      </top>
    </border>
    <border>
      <left style="hair">
        <color indexed="64"/>
      </left>
      <right style="hair">
        <color indexed="64"/>
      </right>
      <bottom style="thin">
        <color indexed="64"/>
      </bottom>
    </border>
    <border>
      <left style="hair">
        <color indexed="64"/>
      </left>
      <right style="hair">
        <color indexed="64"/>
      </right>
      <top style="hair">
        <color indexed="64"/>
      </top>
      <bottom style="thin">
        <color indexed="64"/>
      </bottom>
    </border>
    <border>
      <right style="hair">
        <color indexed="64"/>
      </right>
      <top style="medium">
        <color indexed="64"/>
      </top>
      <bottom style="hair">
        <color indexed="64"/>
      </bottom>
    </border>
    <border>
      <right style="hair">
        <color indexed="64"/>
      </right>
      <top style="medium">
        <color indexed="64"/>
      </top>
      <bottom style="thin">
        <color indexed="64"/>
      </bottom>
    </border>
    <border>
      <left style="medium">
        <color indexed="64"/>
      </left>
      <right style="hair">
        <color indexed="64"/>
      </right>
      <top style="thin">
        <color indexed="64"/>
      </top>
      <bottom style="thin">
        <color indexed="64"/>
      </bottom>
    </border>
    <border>
      <right style="hair">
        <color indexed="64"/>
      </right>
      <top style="hair">
        <color indexed="64"/>
      </top>
      <bottom style="hair">
        <color indexed="64"/>
      </bottom>
    </border>
    <border>
      <left style="hair">
        <color indexed="64"/>
      </left>
      <right style="hair">
        <color indexed="64"/>
      </right>
      <top style="hair">
        <color indexed="64"/>
      </top>
      <bottom style="hair">
        <color indexed="64"/>
      </bottom>
    </border>
    <border>
      <right style="hair">
        <color indexed="64"/>
      </right>
      <bottom style="thin">
        <color indexed="64"/>
      </bottom>
    </border>
    <border>
      <left style="medium">
        <color indexed="64"/>
      </left>
      <right style="hair">
        <color indexed="64"/>
      </right>
      <top style="thin">
        <color indexed="64"/>
      </top>
    </border>
    <border>
      <left style="medium">
        <color indexed="64"/>
      </left>
      <right style="hair">
        <color indexed="64"/>
      </right>
      <top style="medium">
        <color indexed="64"/>
      </top>
      <bottom style="thin">
        <color indexed="64"/>
      </bottom>
    </border>
    <border>
      <left style="medium">
        <color indexed="64"/>
      </left>
      <right style="hair">
        <color indexed="64"/>
      </right>
      <bottom style="hair">
        <color indexed="64"/>
      </bottom>
    </border>
    <border>
      <left style="hair">
        <color indexed="64"/>
      </left>
      <right style="hair">
        <color indexed="64"/>
      </right>
      <top style="hair">
        <color indexed="64"/>
      </top>
      <bottom style="medium">
        <color indexed="64"/>
      </bottom>
    </border>
    <border>
      <left style="thin">
        <color indexed="64"/>
      </left>
      <right style="thin">
        <color indexed="64"/>
      </right>
      <bottom style="thin">
        <color indexed="64"/>
      </bottom>
    </border>
    <border>
      <left style="medium">
        <color indexed="64"/>
      </left>
      <right style="thin">
        <color indexed="64"/>
      </right>
      <top style="medium">
        <color indexed="64"/>
      </top>
      <bottom style="thin">
        <color indexed="64"/>
      </bottom>
    </border>
    <border>
      <right style="thin">
        <color indexed="58"/>
      </right>
      <top style="medium">
        <color indexed="58"/>
      </top>
      <bottom style="thin">
        <color indexed="58"/>
      </bottom>
    </border>
    <border>
      <top style="medium">
        <color indexed="64"/>
      </top>
      <bottom style="hair">
        <color indexed="64"/>
      </bottom>
    </border>
    <border>
      <right style="hair">
        <color indexed="64"/>
      </right>
      <top style="thin">
        <color indexed="64"/>
      </top>
      <bottom style="thin">
        <color indexed="64"/>
      </bottom>
    </border>
    <border>
      <top style="hair">
        <color indexed="64"/>
      </top>
      <bottom style="hair">
        <color indexed="64"/>
      </bottom>
    </border>
    <border>
      <right style="thin">
        <color indexed="64"/>
      </right>
    </border>
    <border>
      <left style="thin">
        <color indexed="64"/>
      </left>
      <bottom style="thin">
        <color indexed="64"/>
      </bottom>
    </border>
    <border>
      <bottom style="thin">
        <color indexed="64"/>
      </bottom>
    </border>
    <border>
      <right style="thin">
        <color indexed="64"/>
      </right>
      <bottom style="thin">
        <color indexed="64"/>
      </bottom>
    </border>
    <border>
      <top style="hair">
        <color indexed="64"/>
      </top>
      <bottom style="thin">
        <color indexed="64"/>
      </bottom>
    </border>
    <border>
      <right style="hair">
        <color indexed="64"/>
      </right>
      <top style="hair">
        <color indexed="64"/>
      </top>
      <bottom style="thin">
        <color indexed="64"/>
      </bottom>
    </border>
    <border>
      <left style="hair">
        <color indexed="64"/>
      </left>
      <right style="hair">
        <color indexed="64"/>
      </right>
      <top style="double">
        <color indexed="64"/>
      </top>
      <bottom style="thin">
        <color indexed="64"/>
      </bottom>
    </border>
    <border>
      <left style="medium">
        <color indexed="64"/>
      </left>
      <bottom style="thin">
        <color indexed="64"/>
      </bottom>
    </border>
    <border>
      <top style="hair">
        <color indexed="64"/>
      </top>
      <bottom style="medium">
        <color indexed="64"/>
      </bottom>
    </border>
    <border>
      <right style="hair">
        <color indexed="64"/>
      </right>
      <top style="hair">
        <color indexed="64"/>
      </top>
      <bottom style="medium">
        <color indexed="64"/>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4">
    <xf numFmtId="0" fontId="0" fillId="0" borderId="0"/>
    <xf numFmtId="0" fontId="5" fillId="2" borderId="1">
      <alignment vertical="center"/>
    </xf>
    <xf numFmtId="0" fontId="6" fillId="0" borderId="2">
      <alignment vertical="center"/>
    </xf>
    <xf numFmtId="0" fontId="7" fillId="0" borderId="0"/>
  </cellStyleXfs>
  <cellXfs count="148">
    <xf numFmtId="0" fontId="0" fillId="0" borderId="0" xfId="0"/>
    <xf numFmtId="0" fontId="1" fillId="0" borderId="0" xfId="0" applyFont="1"/>
    <xf numFmtId="0" fontId="1" fillId="0" borderId="0" xfId="0" applyFont="1" applyAlignment="1">
      <alignment horizontal="center"/>
    </xf>
    <xf numFmtId="0" fontId="3" fillId="3" borderId="7" xfId="0" applyFont="1" applyFill="1" applyBorder="1" applyAlignment="1">
      <alignment horizontal="center" vertical="top"/>
    </xf>
    <xf numFmtId="0" fontId="4" fillId="0" borderId="0" xfId="0" applyFont="1"/>
    <xf numFmtId="0" fontId="1" fillId="0" borderId="0" xfId="3" applyFont="1" applyAlignment="1">
      <alignment horizontal="center" vertical="center"/>
    </xf>
    <xf numFmtId="0" fontId="8" fillId="0" borderId="9" xfId="0" applyFont="1" applyBorder="1" applyAlignment="1">
      <alignment vertical="top" wrapText="1"/>
    </xf>
    <xf numFmtId="0" fontId="8" fillId="0" borderId="9" xfId="0" applyFont="1" applyBorder="1" applyAlignment="1">
      <alignment vertical="top" wrapText="1"/>
    </xf>
    <xf numFmtId="0" fontId="10" fillId="4" borderId="43" xfId="0" applyFont="1" applyFill="1" applyBorder="1" applyAlignment="1">
      <alignment horizontal="center" vertical="center"/>
    </xf>
    <xf numFmtId="0" fontId="12" fillId="0" borderId="43" xfId="0" applyFont="1" applyBorder="1" applyAlignment="1">
      <alignment horizontal="left" vertical="center" wrapText="1"/>
    </xf>
    <xf numFmtId="0" fontId="12" fillId="0" borderId="43" xfId="0" applyFont="1" applyBorder="1" applyAlignment="1">
      <alignment horizontal="center" vertical="center" wrapText="1"/>
    </xf>
    <xf numFmtId="0" fontId="11" fillId="0" borderId="43" xfId="0" applyFont="1" applyBorder="1" applyAlignment="1">
      <alignment horizontal="center" vertical="center" wrapText="1"/>
    </xf>
    <xf numFmtId="0" fontId="11" fillId="0" borderId="43" xfId="0" applyFont="1" applyBorder="1" applyAlignment="1">
      <alignment horizontal="left" vertical="center" wrapText="1"/>
    </xf>
    <xf numFmtId="0" fontId="13" fillId="0" borderId="0" xfId="0" applyFont="1"/>
    <xf numFmtId="0" fontId="9" fillId="0" borderId="9" xfId="0" applyFont="1" applyBorder="1" applyAlignment="1">
      <alignment horizontal="center" vertical="top" wrapText="1"/>
    </xf>
    <xf numFmtId="0" fontId="9" fillId="0" borderId="9" xfId="0" applyFont="1" applyBorder="1" applyAlignment="1">
      <alignment horizontal="center" vertical="top" wrapText="1"/>
    </xf>
    <xf numFmtId="0" fontId="11" fillId="5" borderId="43" xfId="0" applyFont="1" applyFill="1" applyBorder="1" applyAlignment="1">
      <alignment horizontal="center" vertical="center" wrapText="1"/>
    </xf>
    <xf numFmtId="0" fontId="0" fillId="0" borderId="44" xfId="0" applyBorder="1"/>
    <xf numFmtId="0" fontId="0" fillId="0" borderId="45" xfId="0" applyBorder="1"/>
    <xf numFmtId="0" fontId="1" fillId="0" borderId="15" xfId="0" applyFont="1" applyBorder="1" applyAlignment="1">
      <alignment horizontal="center" vertical="center" wrapText="1"/>
    </xf>
    <xf numFmtId="0" fontId="0" fillId="0" borderId="8" xfId="0" applyBorder="1"/>
    <xf numFmtId="0" fontId="0" fillId="0" borderId="15" xfId="0" applyBorder="1"/>
    <xf numFmtId="164" fontId="1" fillId="0" borderId="9" xfId="0" applyNumberFormat="1" applyFont="1" applyBorder="1" applyAlignment="1">
      <alignment horizontal="center" vertical="center"/>
    </xf>
    <xf numFmtId="0" fontId="0" fillId="0" borderId="8" xfId="0" applyBorder="1"/>
    <xf numFmtId="0" fontId="0" fillId="0" borderId="9" xfId="0" applyBorder="1"/>
    <xf numFmtId="0" fontId="9" fillId="0" borderId="21" xfId="0" applyFont="1" applyBorder="1" applyAlignment="1">
      <alignment vertical="top" wrapText="1"/>
    </xf>
    <xf numFmtId="0" fontId="0" fillId="0" borderId="9" xfId="0" applyBorder="1"/>
    <xf numFmtId="0" fontId="1" fillId="3" borderId="25" xfId="0" applyFont="1" applyFill="1" applyBorder="1" applyAlignment="1">
      <alignment horizontal="center" vertical="center"/>
    </xf>
    <xf numFmtId="0" fontId="0" fillId="0" borderId="13" xfId="0" applyBorder="1"/>
    <xf numFmtId="0" fontId="0" fillId="0" borderId="25" xfId="0" applyBorder="1"/>
    <xf numFmtId="169" fontId="1" fillId="0" borderId="9" xfId="0" applyNumberFormat="1" applyFont="1" applyBorder="1" applyAlignment="1">
      <alignment horizontal="center" vertical="center"/>
    </xf>
    <xf numFmtId="0" fontId="9" fillId="0" borderId="9" xfId="0" applyFont="1" applyBorder="1" applyAlignment="1">
      <alignment horizontal="center" vertical="top" wrapText="1"/>
    </xf>
    <xf numFmtId="0" fontId="1" fillId="0" borderId="39" xfId="0" applyFont="1" applyBorder="1" applyAlignment="1">
      <alignment horizontal="center" vertical="center" wrapText="1"/>
    </xf>
    <xf numFmtId="0" fontId="9" fillId="0" borderId="9" xfId="0" applyFont="1" applyBorder="1" applyAlignment="1">
      <alignment horizontal="center" vertical="top" wrapText="1"/>
    </xf>
    <xf numFmtId="167" fontId="1" fillId="0" borderId="20" xfId="3" applyNumberFormat="1" applyFont="1" applyBorder="1" applyAlignment="1">
      <alignment vertical="center" wrapText="1"/>
    </xf>
    <xf numFmtId="0" fontId="0" fillId="0" borderId="32" xfId="0" applyBorder="1"/>
    <xf numFmtId="0" fontId="0" fillId="0" borderId="20" xfId="0" applyBorder="1"/>
    <xf numFmtId="0" fontId="1" fillId="0" borderId="8" xfId="0" applyFont="1" applyBorder="1" applyAlignment="1">
      <alignment horizontal="center" vertical="center" wrapText="1"/>
    </xf>
    <xf numFmtId="165" fontId="1" fillId="0" borderId="26" xfId="0" applyNumberFormat="1" applyFont="1" applyBorder="1" applyAlignment="1">
      <alignment horizontal="center" vertical="center"/>
    </xf>
    <xf numFmtId="0" fontId="0" fillId="0" borderId="41" xfId="0" applyBorder="1"/>
    <xf numFmtId="0" fontId="0" fillId="0" borderId="42" xfId="0" applyBorder="1"/>
    <xf numFmtId="0" fontId="1" fillId="0" borderId="12" xfId="3" applyFont="1" applyBorder="1" applyAlignment="1">
      <alignment vertical="center" wrapText="1"/>
    </xf>
    <xf numFmtId="0" fontId="0" fillId="0" borderId="11" xfId="0" applyBorder="1"/>
    <xf numFmtId="0" fontId="0" fillId="0" borderId="12" xfId="0" applyBorder="1"/>
    <xf numFmtId="0" fontId="3" fillId="3" borderId="19" xfId="0" applyFont="1" applyFill="1" applyBorder="1" applyAlignment="1">
      <alignment horizontal="center" vertical="center"/>
    </xf>
    <xf numFmtId="0" fontId="0" fillId="0" borderId="31" xfId="0" applyBorder="1"/>
    <xf numFmtId="164" fontId="1" fillId="0" borderId="8" xfId="0" applyNumberFormat="1" applyFont="1" applyBorder="1" applyAlignment="1">
      <alignment horizontal="center" vertical="center"/>
    </xf>
    <xf numFmtId="0" fontId="9" fillId="0" borderId="21" xfId="0" applyFont="1" applyBorder="1" applyAlignment="1">
      <alignment vertical="top" wrapText="1"/>
    </xf>
    <xf numFmtId="0" fontId="3" fillId="3" borderId="27" xfId="0" applyFont="1" applyFill="1" applyBorder="1" applyAlignment="1">
      <alignment horizontal="center" vertical="center"/>
    </xf>
    <xf numFmtId="0" fontId="0" fillId="0" borderId="27" xfId="0" applyBorder="1"/>
    <xf numFmtId="0" fontId="3" fillId="3" borderId="27" xfId="0" applyFont="1" applyFill="1" applyBorder="1" applyAlignment="1">
      <alignment horizontal="center" vertical="center" wrapText="1"/>
    </xf>
    <xf numFmtId="165" fontId="1" fillId="0" borderId="16" xfId="0" applyNumberFormat="1" applyFont="1" applyBorder="1" applyAlignment="1">
      <alignment horizontal="center" vertical="center"/>
    </xf>
    <xf numFmtId="0" fontId="0" fillId="0" borderId="37" xfId="0" applyBorder="1"/>
    <xf numFmtId="0" fontId="0" fillId="0" borderId="38" xfId="0" applyBorder="1"/>
    <xf numFmtId="169" fontId="1" fillId="0" borderId="8" xfId="0" applyNumberFormat="1" applyFont="1" applyBorder="1" applyAlignment="1">
      <alignment horizontal="center" vertical="center"/>
    </xf>
    <xf numFmtId="169" fontId="1" fillId="0" borderId="8" xfId="0" applyNumberFormat="1" applyFont="1" applyBorder="1" applyAlignment="1">
      <alignment horizontal="center" vertical="center"/>
    </xf>
    <xf numFmtId="0" fontId="9" fillId="0" borderId="21" xfId="0" applyFont="1" applyBorder="1" applyAlignment="1">
      <alignment horizontal="center" vertical="top" wrapText="1"/>
    </xf>
    <xf numFmtId="0" fontId="3" fillId="3" borderId="10" xfId="3" applyFont="1" applyFill="1" applyBorder="1" applyAlignment="1">
      <alignment horizontal="center" vertical="center"/>
    </xf>
    <xf numFmtId="0" fontId="0" fillId="0" borderId="10" xfId="0" applyBorder="1"/>
    <xf numFmtId="0" fontId="9" fillId="0" borderId="21" xfId="0" applyFont="1" applyBorder="1" applyAlignment="1">
      <alignment horizontal="center" vertical="top" wrapText="1"/>
    </xf>
    <xf numFmtId="0" fontId="1" fillId="0" borderId="17" xfId="3" applyFont="1" applyBorder="1" applyAlignment="1">
      <alignment vertical="center" wrapText="1"/>
    </xf>
    <xf numFmtId="0" fontId="0" fillId="0" borderId="30" xfId="0" applyBorder="1"/>
    <xf numFmtId="0" fontId="0" fillId="0" borderId="17" xfId="0" applyBorder="1"/>
    <xf numFmtId="0" fontId="1" fillId="0" borderId="12" xfId="0" applyFont="1" applyBorder="1" applyAlignment="1">
      <alignment vertical="center" wrapText="1"/>
    </xf>
    <xf numFmtId="0" fontId="0" fillId="0" borderId="11" xfId="0" applyBorder="1"/>
    <xf numFmtId="0" fontId="0" fillId="0" borderId="12" xfId="0" applyBorder="1"/>
    <xf numFmtId="0" fontId="3" fillId="3" borderId="19" xfId="3" applyFont="1" applyFill="1" applyBorder="1" applyAlignment="1">
      <alignment horizontal="center" vertical="center"/>
    </xf>
    <xf numFmtId="0" fontId="0" fillId="0" borderId="31" xfId="0" applyBorder="1"/>
    <xf numFmtId="0" fontId="3" fillId="3" borderId="18" xfId="3" applyFont="1" applyFill="1" applyBorder="1" applyAlignment="1">
      <alignment horizontal="center" vertical="center"/>
    </xf>
    <xf numFmtId="0" fontId="0" fillId="0" borderId="18" xfId="0" applyBorder="1"/>
    <xf numFmtId="0" fontId="3" fillId="3" borderId="23" xfId="3" applyFont="1" applyFill="1" applyBorder="1" applyAlignment="1">
      <alignment horizontal="center" vertical="center"/>
    </xf>
    <xf numFmtId="0" fontId="0" fillId="0" borderId="14" xfId="0" applyBorder="1"/>
    <xf numFmtId="164" fontId="1" fillId="0" borderId="8" xfId="0" applyNumberFormat="1" applyFont="1" applyBorder="1" applyAlignment="1">
      <alignment horizontal="center" vertical="center"/>
    </xf>
    <xf numFmtId="0" fontId="3" fillId="3" borderId="24" xfId="0" applyFont="1" applyFill="1" applyBorder="1" applyAlignment="1">
      <alignment horizontal="center" vertical="center"/>
    </xf>
    <xf numFmtId="0" fontId="0" fillId="0" borderId="18" xfId="0" applyBorder="1"/>
    <xf numFmtId="166" fontId="1" fillId="0" borderId="16" xfId="0" applyNumberFormat="1" applyFont="1" applyBorder="1" applyAlignment="1">
      <alignment horizontal="center" vertical="center"/>
    </xf>
    <xf numFmtId="0" fontId="0" fillId="0" borderId="35" xfId="0" applyBorder="1"/>
    <xf numFmtId="0" fontId="0" fillId="0" borderId="36" xfId="0" applyBorder="1"/>
    <xf numFmtId="0" fontId="3" fillId="3" borderId="23" xfId="0" applyFont="1" applyFill="1" applyBorder="1" applyAlignment="1">
      <alignment horizontal="center" vertical="center"/>
    </xf>
    <xf numFmtId="0" fontId="0" fillId="0" borderId="14" xfId="0" applyBorder="1"/>
    <xf numFmtId="0" fontId="1" fillId="0" borderId="17" xfId="0" applyFont="1" applyBorder="1" applyAlignment="1">
      <alignment vertical="center" wrapText="1"/>
    </xf>
    <xf numFmtId="0" fontId="0" fillId="0" borderId="30" xfId="0" applyBorder="1"/>
    <xf numFmtId="0" fontId="0" fillId="0" borderId="17" xfId="0" applyBorder="1"/>
    <xf numFmtId="0" fontId="1" fillId="0" borderId="6" xfId="0" applyFont="1" applyBorder="1" applyAlignment="1">
      <alignment vertical="top" wrapText="1"/>
    </xf>
    <xf numFmtId="0" fontId="0" fillId="0" borderId="4" xfId="0" applyBorder="1"/>
    <xf numFmtId="0" fontId="0" fillId="0" borderId="5" xfId="0" applyBorder="1"/>
    <xf numFmtId="0" fontId="0" fillId="0" borderId="34" xfId="0" applyBorder="1"/>
    <xf numFmtId="170" fontId="1" fillId="0" borderId="9" xfId="0" applyNumberFormat="1" applyFont="1" applyBorder="1" applyAlignment="1">
      <alignment horizontal="center" vertical="center"/>
    </xf>
    <xf numFmtId="168" fontId="1" fillId="0" borderId="20" xfId="3" applyNumberFormat="1" applyFont="1" applyBorder="1" applyAlignment="1">
      <alignment vertical="center" wrapText="1"/>
    </xf>
    <xf numFmtId="0" fontId="3" fillId="3" borderId="22" xfId="3" applyFont="1" applyFill="1" applyBorder="1" applyAlignment="1">
      <alignment horizontal="center" vertical="center"/>
    </xf>
    <xf numFmtId="0" fontId="0" fillId="0" borderId="22" xfId="0" applyBorder="1"/>
    <xf numFmtId="0" fontId="1" fillId="0" borderId="0" xfId="0" applyFont="1"/>
    <xf numFmtId="0" fontId="0" fillId="0" borderId="33" xfId="0" applyBorder="1"/>
    <xf numFmtId="0" fontId="2" fillId="0" borderId="0" xfId="0" applyFont="1" applyAlignment="1">
      <alignment horizontal="center" vertical="center"/>
    </xf>
    <xf numFmtId="0" fontId="0" fillId="0" borderId="0" xfId="0"/>
    <xf numFmtId="0" fontId="1" fillId="0" borderId="0" xfId="0" applyFont="1" applyAlignment="1">
      <alignment horizontal="center"/>
    </xf>
    <xf numFmtId="0" fontId="3" fillId="3" borderId="28" xfId="0" applyFont="1" applyFill="1" applyBorder="1" applyAlignment="1">
      <alignment horizontal="center" vertical="center"/>
    </xf>
    <xf numFmtId="0" fontId="0" fillId="0" borderId="40" xfId="0" applyBorder="1"/>
    <xf numFmtId="0" fontId="1" fillId="0" borderId="20" xfId="0" applyFont="1" applyBorder="1" applyAlignment="1">
      <alignment vertical="center" wrapText="1"/>
    </xf>
    <xf numFmtId="0" fontId="0" fillId="0" borderId="32" xfId="0" applyBorder="1"/>
    <xf numFmtId="0" fontId="0" fillId="0" borderId="20" xfId="0" applyBorder="1"/>
    <xf numFmtId="0" fontId="3" fillId="3" borderId="3" xfId="3" applyFont="1" applyFill="1" applyBorder="1" applyAlignment="1">
      <alignment horizontal="center" vertical="center"/>
    </xf>
    <xf numFmtId="0" fontId="0" fillId="0" borderId="29" xfId="0" applyBorder="1"/>
    <xf numFmtId="0" fontId="1" fillId="0" borderId="20" xfId="3" applyFont="1" applyBorder="1" applyAlignment="1">
      <alignment vertical="center" wrapText="1"/>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0" fontId="3" fillId="3" borderId="7" xfId="0" applyFont="1" applyFill="1" applyBorder="1" applyAlignment="1">
      <alignment horizontal="center" vertical="top"/>
    </xf>
    <xf numFmtId="169" fontId="1" fillId="0" borderId="9" xfId="0" applyNumberFormat="1" applyFont="1" applyFill="1" applyBorder="1" applyAlignment="1">
      <alignment horizontal="center" vertical="center"/>
    </xf>
    <xf numFmtId="170" fontId="1" fillId="0" borderId="9" xfId="0" applyNumberFormat="1" applyFont="1" applyFill="1" applyBorder="1" applyAlignment="1">
      <alignment horizontal="center" vertical="center"/>
    </xf>
    <xf numFmtId="169" fontId="1" fillId="0" borderId="8" xfId="0" applyNumberFormat="1" applyFont="1" applyFill="1" applyBorder="1" applyAlignment="1">
      <alignment horizontal="center" vertical="center"/>
    </xf>
    <xf numFmtId="169" fontId="0" fillId="0" borderId="0" xfId="0" applyNumberFormat="1" applyFont="1" applyFill="1" applyBorder="1"/>
    <xf numFmtId="0" fontId="1" fillId="3" borderId="25" xfId="0" applyFont="1" applyFill="1" applyBorder="1" applyAlignment="1">
      <alignment horizontal="center" vertical="center"/>
    </xf>
    <xf numFmtId="169" fontId="1" fillId="0" borderId="9" xfId="0" applyNumberFormat="1" applyFont="1" applyFill="1" applyBorder="1" applyAlignment="1">
      <alignment horizontal="center" vertical="center"/>
    </xf>
    <xf numFmtId="164" fontId="1" fillId="0" borderId="9" xfId="0" applyNumberFormat="1" applyFont="1" applyBorder="1" applyAlignment="1">
      <alignment horizontal="center" vertical="center"/>
    </xf>
    <xf numFmtId="169" fontId="1" fillId="0" borderId="9" xfId="0" applyNumberFormat="1" applyFont="1" applyFill="1" applyBorder="1" applyAlignment="1">
      <alignment horizontal="center" vertical="center"/>
    </xf>
    <xf numFmtId="0" fontId="8" fillId="0" borderId="9" xfId="0" applyFont="1" applyBorder="1" applyAlignment="1">
      <alignment vertical="top" wrapText="1"/>
    </xf>
    <xf numFmtId="0" fontId="9" fillId="0" borderId="9" xfId="0" applyFont="1" applyBorder="1" applyAlignment="1">
      <alignment horizontal="center" vertical="top" wrapText="1"/>
    </xf>
    <xf numFmtId="0" fontId="9" fillId="0" borderId="9" xfId="0" applyFont="1" applyBorder="1" applyAlignment="1">
      <alignment horizontal="center" vertical="top" wrapText="1"/>
    </xf>
    <xf numFmtId="0" fontId="1" fillId="0" borderId="39" xfId="0" applyFont="1" applyBorder="1" applyAlignment="1">
      <alignment horizontal="center" vertical="center" wrapText="1"/>
    </xf>
    <xf numFmtId="0" fontId="0" fillId="0" borderId="13" xfId="0" applyBorder="1"/>
    <xf numFmtId="0" fontId="0" fillId="0" borderId="8" xfId="0" applyBorder="1"/>
    <xf numFmtId="0" fontId="9" fillId="0" borderId="21" xfId="0" applyFont="1" applyBorder="1" applyAlignment="1">
      <alignment vertical="top" wrapText="1"/>
    </xf>
    <xf numFmtId="0" fontId="9" fillId="0" borderId="21" xfId="0" applyFont="1" applyBorder="1" applyAlignment="1">
      <alignment horizontal="center" vertical="top" wrapText="1"/>
    </xf>
    <xf numFmtId="0" fontId="0" fillId="0" borderId="8" xfId="0" applyBorder="1"/>
    <xf numFmtId="0" fontId="0" fillId="0" borderId="9" xfId="0" applyBorder="1"/>
    <xf numFmtId="0" fontId="0" fillId="0" borderId="25" xfId="0" applyBorder="1"/>
    <xf numFmtId="166" fontId="1" fillId="0" borderId="16" xfId="0" applyNumberFormat="1" applyFont="1" applyBorder="1" applyAlignment="1">
      <alignment horizontal="center" vertical="center"/>
    </xf>
    <xf numFmtId="0" fontId="0" fillId="0" borderId="37" xfId="0" applyBorder="1"/>
    <xf numFmtId="0" fontId="0" fillId="0" borderId="38" xfId="0" applyBorder="1"/>
    <xf numFmtId="0" fontId="0" fillId="0" borderId="15" xfId="0" applyBorder="1"/>
    <xf numFmtId="0" fontId="3" fillId="3" borderId="7" xfId="0" applyFont="1" applyFill="1" applyBorder="1" applyAlignment="1">
      <alignment horizontal="center" vertical="top" textRotation="255"/>
    </xf>
    <xf numFmtId="0" fontId="3" fillId="3" borderId="7" xfId="0" applyFont="1" applyFill="1" applyBorder="1" applyAlignment="1">
      <alignment horizontal="center" vertical="top" textRotation="255"/>
    </xf>
    <xf numFmtId="0" fontId="3" fillId="3" borderId="7" xfId="0" applyFont="1" applyFill="1" applyBorder="1" applyAlignment="1">
      <alignment horizontal="center" vertical="top" textRotation="255"/>
    </xf>
    <xf numFmtId="0" fontId="3" fillId="3" borderId="7" xfId="0" applyFont="1" applyFill="1" applyBorder="1" applyAlignment="1">
      <alignment horizontal="center" vertical="top" textRotation="255"/>
    </xf>
    <xf numFmtId="0" fontId="3" fillId="3" borderId="7" xfId="0" applyFont="1" applyFill="1" applyBorder="1" applyAlignment="1">
      <alignment horizontal="center" vertical="top" textRotation="255"/>
    </xf>
    <xf numFmtId="0" fontId="3" fillId="3" borderId="7" xfId="0" applyFont="1" applyFill="1" applyBorder="1" applyAlignment="1">
      <alignment horizontal="center" vertical="top" textRotation="255"/>
    </xf>
    <xf numFmtId="0" fontId="3" fillId="3" borderId="7" xfId="0" applyFont="1" applyFill="1" applyBorder="1" applyAlignment="1">
      <alignment horizontal="center" vertical="top" textRotation="255"/>
    </xf>
  </cellXfs>
  <cellStyles count="4">
    <cellStyle name="Normal" xfId="0"/>
    <cellStyle name="チェック セル" xfId="1"/>
    <cellStyle name="リンク セル" xfId="2"/>
    <cellStyle name="標準_旧・スキルシート(エンジニア様用) " xfId="3"/>
  </cellStyles>
</styleSheet>
</file>

<file path=xl/_rels/workbook.xml.rels>&#65279;<?xml version="1.0" encoding="utf-8"?><Relationships xmlns="http://schemas.openxmlformats.org/package/2006/relationships"><Relationship Type="http://schemas.openxmlformats.org/officeDocument/2006/relationships/styles" Target="/xl/styles.xml" Id="R74935426cb174723" /><Relationship Type="http://schemas.openxmlformats.org/officeDocument/2006/relationships/theme" Target="/xl/theme/theme1.xml" Id="Ra1d7c40d88a44cb5" /><Relationship Type="http://schemas.openxmlformats.org/officeDocument/2006/relationships/sharedStrings" Target="/xl/sharedStrings.xml" Id="Re2cfa78480814b3f" /><Relationship Type="http://schemas.openxmlformats.org/officeDocument/2006/relationships/worksheet" Target="/xl/worksheets/sheet1.xml" Id="R957171ba0c1c4672" /><Relationship Type="http://schemas.openxmlformats.org/officeDocument/2006/relationships/worksheet" Target="/xl/worksheets/sheet2.xml" Id="Ra615defef81e435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indexed="9"/>
    <pageSetUpPr fitToPage="1"/>
  </sheetPr>
  <sheetFormatPr baseColWidth="10" defaultColWidth="9" defaultRowHeight="14"/>
  <cols>
    <col min="1" max="1" width="3.5" style="1" customWidth="1"/>
    <col min="2" max="2" width="12.1640625" style="1" customWidth="1"/>
    <col min="3" max="3" width="2.5" style="1" customWidth="1"/>
    <col min="4" max="4" width="12.1640625" style="1" customWidth="1"/>
    <col min="5" max="5" width="70" style="1" customWidth="1"/>
    <col min="6" max="6" width="11" style="1" customWidth="1"/>
    <col min="7" max="7" width="14.5" style="1" customWidth="1"/>
    <col min="8" max="10" width="14.5" customWidth="1"/>
    <col min="11" max="17" width="3.5" style="2" customWidth="1"/>
    <col min="18" max="18" width="9" style="1" customWidth="1"/>
    <col min="19" max="16384" width="9" style="1" customWidth="0"/>
  </cols>
  <sheetData>
    <row r="1" ht="34.5" customHeight="1">
      <c r="A1" s="93" t="str">
        <v>スキルシート</v>
      </c>
      <c r="B1" s="91"/>
      <c r="C1" s="91"/>
      <c r="D1" s="91"/>
      <c r="E1" s="91"/>
      <c r="F1" s="91"/>
      <c r="G1" s="91"/>
      <c r="H1" s="94"/>
      <c r="I1" s="94"/>
      <c r="J1" s="94"/>
      <c r="K1" s="95"/>
      <c r="L1" s="95"/>
      <c r="M1" s="95"/>
      <c r="N1" s="95"/>
      <c r="O1" s="95"/>
      <c r="P1" s="95"/>
      <c r="Q1" s="95"/>
      <c r="R1" s="4"/>
    </row>
    <row r="2" s="5" customFormat="1" ht="21" customHeight="1">
      <c r="A2" s="101" t="str">
        <v>技術者名</v>
      </c>
      <c r="B2" s="102"/>
      <c r="C2" s="60" t="str">
        <v>浜田 将彰</v>
      </c>
      <c r="D2" s="61"/>
      <c r="E2" s="62"/>
      <c r="F2" s="68" t="str">
        <v>職種</v>
      </c>
      <c r="G2" s="69"/>
      <c r="H2" s="60" t="str">
        <v>SREエンジニア / CTO</v>
      </c>
      <c r="I2" s="61"/>
      <c r="J2" s="61"/>
      <c r="K2" s="61"/>
      <c r="L2" s="61"/>
      <c r="M2" s="61"/>
      <c r="N2" s="61"/>
      <c r="O2" s="61"/>
      <c r="P2" s="61"/>
      <c r="Q2" s="62"/>
    </row>
    <row r="3" s="5" customFormat="1" ht="21" customHeight="1">
      <c r="A3" s="66" t="str">
        <v>経験領域</v>
      </c>
      <c r="B3" s="67"/>
      <c r="C3" s="103" t="str">
        <v>クラウド基盤・SRE / Webアプリケーション開発</v>
      </c>
      <c r="D3" s="35"/>
      <c r="E3" s="36"/>
      <c r="F3" s="89" t="str">
        <v>更新日</v>
      </c>
      <c r="G3" s="90"/>
      <c r="H3" s="34" t="str">
        <v>2026年9月16日</v>
      </c>
      <c r="I3" s="35"/>
      <c r="J3" s="35"/>
      <c r="K3" s="35"/>
      <c r="L3" s="35"/>
      <c r="M3" s="35"/>
      <c r="N3" s="35"/>
      <c r="O3" s="35"/>
      <c r="P3" s="35"/>
      <c r="Q3" s="36"/>
    </row>
    <row r="4" s="5" customFormat="1" ht="30" customHeight="1">
      <c r="A4" s="66" t="str">
        <v>資格</v>
      </c>
      <c r="B4" s="67"/>
      <c r="C4" s="34" t="str">
        <v>基本情報技術者。LPIC-3・CCNAは取得歴あり（現在は失効）。</v>
      </c>
      <c r="D4" s="35"/>
      <c r="E4" s="36"/>
      <c r="F4" s="89" t="str">
        <v>担当工程</v>
      </c>
      <c r="G4" s="90"/>
      <c r="H4" s="88" t="str">
        <v>要件定義から開発・運用・保守まで</v>
      </c>
      <c r="I4" s="35"/>
      <c r="J4" s="35"/>
      <c r="K4" s="35"/>
      <c r="L4" s="35"/>
      <c r="M4" s="35"/>
      <c r="N4" s="35"/>
      <c r="O4" s="35"/>
      <c r="P4" s="35"/>
      <c r="Q4" s="36"/>
    </row>
    <row r="5" s="5" customFormat="1" ht="21" customHeight="1">
      <c r="A5" s="70" t="str">
        <v>クラウド経験</v>
      </c>
      <c r="B5" s="71"/>
      <c r="C5" s="41" t="str">
        <v>AWS 約10年 / Azure 約3.5年</v>
      </c>
      <c r="D5" s="42"/>
      <c r="E5" s="43"/>
      <c r="F5" s="57" t="str">
        <v>業務形態</v>
      </c>
      <c r="G5" s="58"/>
      <c r="H5" s="41" t="str">
        <v>受託・業務委託 / 自社サービス開発</v>
      </c>
      <c r="I5" s="42"/>
      <c r="J5" s="42"/>
      <c r="K5" s="42"/>
      <c r="L5" s="42"/>
      <c r="M5" s="42"/>
      <c r="N5" s="42"/>
      <c r="O5" s="42"/>
      <c r="P5" s="42"/>
      <c r="Q5" s="43"/>
    </row>
    <row r="6" ht="20" customHeight="1">
      <c r="A6" s="73" t="str">
        <v>得意分野</v>
      </c>
      <c r="B6" s="74"/>
      <c r="C6" s="80" t="str">
        <v>クラウドインフラ（AWS / Azure）、IaC・構築自動化、監視・信頼性設計</v>
      </c>
      <c r="D6" s="81"/>
      <c r="E6" s="81"/>
      <c r="F6" s="81"/>
      <c r="G6" s="81"/>
      <c r="H6" s="81"/>
      <c r="I6" s="81"/>
      <c r="J6" s="81"/>
      <c r="K6" s="81"/>
      <c r="L6" s="81"/>
      <c r="M6" s="81"/>
      <c r="N6" s="81"/>
      <c r="O6" s="81"/>
      <c r="P6" s="81"/>
      <c r="Q6" s="82"/>
    </row>
    <row r="7" ht="20" customHeight="1">
      <c r="A7" s="44" t="str">
        <v>得意技術</v>
      </c>
      <c r="B7" s="45"/>
      <c r="C7" s="98" t="str">
        <v>AWS、Azure、Terraform、Ansible、Docker / ECS、GitHub Actions、Linux、Claude Code</v>
      </c>
      <c r="D7" s="99"/>
      <c r="E7" s="99"/>
      <c r="F7" s="99"/>
      <c r="G7" s="99"/>
      <c r="H7" s="99"/>
      <c r="I7" s="99"/>
      <c r="J7" s="99"/>
      <c r="K7" s="99"/>
      <c r="L7" s="99"/>
      <c r="M7" s="99"/>
      <c r="N7" s="99"/>
      <c r="O7" s="99"/>
      <c r="P7" s="99"/>
      <c r="Q7" s="100"/>
    </row>
    <row r="8" ht="20" customHeight="1">
      <c r="A8" s="78" t="str">
        <v>得意業務</v>
      </c>
      <c r="B8" s="79"/>
      <c r="C8" s="63" t="str">
        <v>基盤設計・構築、クラウド移行、CI/CD、運用設計・改善、Web・SaaS連携の開発</v>
      </c>
      <c r="D8" s="64"/>
      <c r="E8" s="64"/>
      <c r="F8" s="64"/>
      <c r="G8" s="64"/>
      <c r="H8" s="64"/>
      <c r="I8" s="64"/>
      <c r="J8" s="64"/>
      <c r="K8" s="64"/>
      <c r="L8" s="64"/>
      <c r="M8" s="64"/>
      <c r="N8" s="64"/>
      <c r="O8" s="64"/>
      <c r="P8" s="64"/>
      <c r="Q8" s="65"/>
    </row>
    <row r="9" ht="182.5" customHeight="1">
      <c r="A9" s="96" t="str">
        <v>自己PR</v>
      </c>
      <c r="B9" s="85"/>
      <c r="C9" s="83" t="str">
        <v>SREエンジニア / CTO
【職務要約】
物理サーバ・ネットワークからクラウド基盤まで、15年以上にわたり設計・構築・運用を経験してきました。AWSを約10年、Azureを約3.5年扱い、クラウド移行、IaC、CI/CD、監視設計に取り組んでいます。2022年からは自社サービスの取締役・CTOとして、要件定義から開発、運用・保守まで一貫して担当しています。
【信頼性と再現性を考慮した基盤設計】
AWS・Azureの基盤設計と、IaC・CI/CDによる環境構築の標準化を得意としています。決済基盤ではTerraformで開発・検証・本番のほぼ全環境をコード化し、数時間で再構築できる状態に整備しました。自動スケールや監視・通知、稼働率目標の設計も担当し、構築後の運用を見据えて基盤を整えています。
【運用負荷とコストの改善】
リソースの使われ方と日々の運用を見直し、具体的な改善につなげてきました。公衆無線Wi-Fi基盤では、約10台のサーバに時間帯別のAuto ScalingとSpot・RIを適用し、AWSコストを3〜4割削減しました。
【要件定義から運用・保守までの一貫した開発】
自社サービスでは技術担当1名で、Webアプリケーション、SaaS連携、クラウド基盤を横断して開発しています。予約・受講履歴の連携やAIレポートなどを要件定義から運用・保守まで担当し、採用・予算・技術選定にも携わっています。定型業務の手順化とAIによる自動化を進め、当初3名で担当していた運用を1名で対応できる形に改善しました。
クラウド基盤の専門性を軸に、必要に応じてアプリケーションやSaaS連携まで担当します。IaCと設計ドキュメントで再現・引き継ぎができる状態をつくり、繰り返し作業は手順化・自動化して改善を続けます。
動画サービスの受託案件は2022/07 - 09に開発、2022/10 - 2023/07は修正・運用・保守を担当。自社サービス・業務委託と並行。2013/02 - 08は資格取得期間、2016/12 - 2017/12はカナダへ遊学。 社内ネットワークのリプレイス（2010/01 - 2013/01）は、社内インフラ業務と並行して担当しました。
更新：2026年9月16日。現在案件の期間は2026年09月まで。</v>
      </c>
      <c r="D9" s="84"/>
      <c r="E9" s="84"/>
      <c r="F9" s="84"/>
      <c r="G9" s="84"/>
      <c r="H9" s="84"/>
      <c r="I9" s="84"/>
      <c r="J9" s="84"/>
      <c r="K9" s="84"/>
      <c r="L9" s="84"/>
      <c r="M9" s="84"/>
      <c r="N9" s="84"/>
      <c r="O9" s="84"/>
      <c r="P9" s="84"/>
      <c r="Q9" s="85"/>
    </row>
    <row r="10" ht="182.5" customHeight="1">
      <c r="A10" s="97"/>
      <c r="B10" s="77"/>
      <c r="C10" s="86"/>
      <c r="D10" s="76"/>
      <c r="E10" s="76"/>
      <c r="F10" s="76"/>
      <c r="G10" s="76"/>
      <c r="H10" s="76"/>
      <c r="I10" s="76"/>
      <c r="J10" s="76"/>
      <c r="K10" s="76"/>
      <c r="L10" s="76"/>
      <c r="M10" s="76"/>
      <c r="N10" s="76"/>
      <c r="O10" s="76"/>
      <c r="P10" s="76"/>
      <c r="Q10" s="77"/>
    </row>
    <row r="11" ht="20" customHeight="1">
      <c r="A11" s="48" t="str">
        <v>期間</v>
      </c>
      <c r="B11" s="91"/>
      <c r="C11" s="91"/>
      <c r="D11" s="92"/>
      <c r="E11" s="50" t="str">
        <v>業務内容</v>
      </c>
      <c r="F11" s="50" t="str">
        <v>役割
規模</v>
      </c>
      <c r="G11" s="50" t="str">
        <v>サーバ
OS</v>
      </c>
      <c r="H11" s="48" t="str">
        <v>DBサーバ</v>
      </c>
      <c r="I11" s="50" t="str">
        <v>ミドル
ウェア</v>
      </c>
      <c r="J11" s="50" t="str">
        <v>NW機器
ストレージ
パッケージ
ツール
PG言語</v>
      </c>
      <c r="K11" s="50" t="str">
        <v>担当工程</v>
      </c>
      <c r="L11" s="76"/>
      <c r="M11" s="76"/>
      <c r="N11" s="76"/>
      <c r="O11" s="76"/>
      <c r="P11" s="76"/>
      <c r="Q11" s="77"/>
    </row>
    <row r="12" ht="83.25" customHeight="1">
      <c r="A12" s="86"/>
      <c r="B12" s="76"/>
      <c r="C12" s="76"/>
      <c r="D12" s="77"/>
      <c r="E12" s="49"/>
      <c r="F12" s="49"/>
      <c r="G12" s="49"/>
      <c r="H12" s="49"/>
      <c r="I12" s="49"/>
      <c r="J12" s="49"/>
      <c r="K12" s="141" t="str">
        <v>要件定義</v>
      </c>
      <c r="L12" s="142" t="str">
        <v>基本設計</v>
      </c>
      <c r="M12" s="143" t="str">
        <v>詳細設計</v>
      </c>
      <c r="N12" s="144" t="str">
        <v>構築・設定</v>
      </c>
      <c r="O12" s="145" t="str">
        <v>運用設計</v>
      </c>
      <c r="P12" s="146" t="str">
        <v>保守・運用</v>
      </c>
      <c r="Q12" s="147" t="str">
        <v>障害対応</v>
      </c>
    </row>
    <row r="13" ht="66" customHeight="1">
      <c r="A13" s="27" t="n">
        <v>1</v>
      </c>
      <c r="B13" s="118" t="n">
        <v>44621</v>
      </c>
      <c r="C13" s="22" t="str">
        <v>-</v>
      </c>
      <c r="D13" s="119" t="n">
        <v>46266</v>
      </c>
      <c r="E13" s="6" t="str">
        <v>■オンラインヨガサービスの予約・受講基盤、AIレポート、法人向けポータルの開発・運用
グローバル向けのオンライン1on1ヨガ・サブスクリプションサービス（BtoC/BtoB）で技術全般を担当しています。個人向けのEC・予約・受講基盤、AIレッスンレポート、Zoom会議管理、法人向け予約ポータルを開発・運用しています。</v>
      </c>
      <c r="F13" s="14" t="str">
        <v>取締役 / CTO</v>
      </c>
      <c r="G13" s="33" t="str">
        <v>Amazon Linux
(EC2)</v>
      </c>
      <c r="H13" s="33" t="str">
        <v>Supabase
(PostgreSQL)</v>
      </c>
      <c r="I13" s="33" t="str">
        <v>Supabase Auth</v>
      </c>
      <c r="J13" s="33" t="str">
        <v>AWS (EC2
Lambda
S3
ECS
ECR
CloudWatch)
Vercel
Next.js
TypeScript
Shopify
Sesami
Zoom
Recharge
Klaviyo の各API
Playwright
GitHub Actions
Docker
Node.js
Python
OpenAI API
Claude Code
追加の使用技術：
AWS Lambda
API Gateway
DynamoDB
Shopify Admin GraphQL API・App Proxy
Liquid
Express
Zoom API
Gmail API
Google Docs API
Google Calendar API
Google Sheets API
MCP
CloudWatch
SNS
Sesami API
Recharge API
Klaviyo API
Serverless Framework</v>
      </c>
      <c r="K13" s="32" t="str">
        <v>●</v>
      </c>
      <c r="L13" s="32" t="str">
        <v>●</v>
      </c>
      <c r="M13" s="32" t="str">
        <v>●</v>
      </c>
      <c r="N13" s="32" t="str">
        <v>●</v>
      </c>
      <c r="O13" s="32" t="str">
        <v>●</v>
      </c>
      <c r="P13" s="32" t="str">
        <v>●</v>
      </c>
      <c r="Q13" s="32" t="str">
        <v>●</v>
      </c>
    </row>
    <row r="14" ht="263.5" customHeight="1">
      <c r="A14" s="28"/>
      <c r="B14" s="23"/>
      <c r="C14" s="23"/>
      <c r="D14" s="23"/>
      <c r="E14" s="47" t="str">
        <v>≪担当業務≫
【要件定義・技術選定と開発全体の担当】
技術担当1名で、要件定義、技術選定、基本・詳細設計、実装、運用設計、保守・運用、障害対応まで担当しています。取締役・CTOとして、採用・予算に関する意思決定にも携わっています。
【EC・予約・契約情報とレッスン配信の統合】
Shopify・Sesami・Zoom・Recharge・Klaviyoを組み合わせ、EC・予約・契約情報とレッスン配信を連携しました。生徒・講師の現地時刻とJST・PT・UTCが関わる予約情報の整合性を考慮して設計・構築しています。
【予約・受講履歴のAPIと変更・キャンセル連携】
Node.js・Expressで予約・契約情報の連携APIを実装しました。講師情報、予約データ、受講URL、タイムゾーンをShopify Metaobjectに保存して顧客と紐付け、予約変更・キャンセルに伴う会議情報の更新、顧客別の受講・注文・契約情報の取得、レッスン単位のコメント管理に対応しました。
【AIレッスンレポートの生成・配信】
Python・AWS Lambdaでレッスン字幕を取得し、OpenAI APIによるレポート生成、Gmailでのメール配信、Shopifyへの保存、Google Docsへの履歴蓄積までを自動化しました。2025年3月18日に正式リリースしています。
【AIレポート処理の再試行・重複抑制】
字幕生成の遅延に対応する再試行処理と、DynamoDBを使って重複処理を抑える実行ロックを実装しました。
【会議アカウントの自動割り当て】
Python・AWS Lambdaで複数のZoomアカウントの会議予定を取得し、開始・終了時刻の重複判定で空きアカウントを選定しました。会議の作成・削除と、Google Calendar・スプレッドシートへの記録を連携しています。
【監視・アラーム通知の整備】
CloudWatch・SNSからSlackへのアラーム通知を整備しています。
【法人向け予約ポータルの開発と認可・テスト設計】
2026年7月からNext.js・Vercel・Supabaseで法人向け予約ポータルを新規開発しています。検証・本番の環境分離、PostgreSQL RLSによる認可、PlaywrightによるE2Eテストを整備しました。E2Eテストは本番データから隔離する構成を設計しています。
【AIを活用した定型運用の自動化】
2025年からClaude Codeを主軸に開発・運用を進め、定型オペレーションを再利用可能な手順として自動化しました。当初3名で担当していた運用を、AI活用により1名で対応できる形に改善しています。
≪公開資料≫
AIレッスンレポートの正式リリース（PR TIMES・2025/03/23）
https://prtimes.jp/main/html/rd/p/000000002.000119830.html</v>
      </c>
      <c r="F14" s="59" t="str">
        <v>事業全体：本人を含む3名＋講師約20名。技術担当：本人1名。定型運用はAI活用により3名から1名へ。</v>
      </c>
      <c r="G14" s="23"/>
      <c r="H14" s="23"/>
      <c r="I14" s="23"/>
      <c r="J14" s="23"/>
      <c r="K14" s="20"/>
      <c r="L14" s="20"/>
      <c r="M14" s="20"/>
      <c r="N14" s="20"/>
      <c r="O14" s="20"/>
      <c r="P14" s="20"/>
      <c r="Q14" s="20"/>
    </row>
    <row r="15" ht="263.5" customHeight="1">
      <c r="A15" s="28"/>
      <c r="B15" s="24"/>
      <c r="C15" s="24"/>
      <c r="D15" s="24"/>
      <c r="E15" s="23"/>
      <c r="F15" s="23"/>
      <c r="G15" s="23"/>
      <c r="H15" s="23"/>
      <c r="I15" s="23"/>
      <c r="J15" s="23"/>
      <c r="K15" s="20"/>
      <c r="L15" s="20"/>
      <c r="M15" s="20"/>
      <c r="N15" s="20"/>
      <c r="O15" s="20"/>
      <c r="P15" s="20"/>
      <c r="Q15" s="20"/>
    </row>
    <row r="16" ht="20" customHeight="1">
      <c r="A16" s="29"/>
      <c r="B16" s="75" t="str">
        <f>DATEDIF(B13,D13,"M")+1&amp;"ヶ月"</f>
        <v>55ヶ月</v>
      </c>
      <c r="C16" s="52"/>
      <c r="D16" s="53"/>
      <c r="E16" s="24"/>
      <c r="F16" s="24"/>
      <c r="G16" s="24"/>
      <c r="H16" s="24"/>
      <c r="I16" s="24"/>
      <c r="J16" s="24"/>
      <c r="K16" s="21"/>
      <c r="L16" s="21"/>
      <c r="M16" s="21"/>
      <c r="N16" s="21"/>
      <c r="O16" s="21"/>
      <c r="P16" s="21"/>
      <c r="Q16" s="21"/>
    </row>
    <row r="17" ht="65" customHeight="1">
      <c r="A17" s="27" t="n">
        <v>2</v>
      </c>
      <c r="B17" s="118" t="n">
        <v>46082</v>
      </c>
      <c r="C17" s="22" t="str">
        <v>-</v>
      </c>
      <c r="D17" s="118" t="n">
        <v>46204</v>
      </c>
      <c r="E17" s="6" t="str">
        <v>■Webサービスのクラウド移行に伴うITコンサルティング
BtoC Webサービスの既存ホスティング環境から、AWSのMSPフルマネージド環境への移行を支援。事業側とベンダー側のインフラ部分の調整、構成・手順のチェックを担当しました。</v>
      </c>
      <c r="F17" s="14" t="str">
        <v>ITコンサルタント / 事業側・ベンダー間の調整</v>
      </c>
      <c r="G17" s="31" t="str">
        <v>Amazon Linux
(EC2)</v>
      </c>
      <c r="H17" s="31" t="str">
        <v>—</v>
      </c>
      <c r="I17" s="31" t="str">
        <v>Apache HTTP Server
PHP</v>
      </c>
      <c r="J17" s="31" t="str">
        <v>AWS (ALB
Route 53
S3)</v>
      </c>
      <c r="K17" s="19" t="str">
        <v>●</v>
      </c>
      <c r="L17" s="19" t="str">
        <v>●</v>
      </c>
      <c r="M17" s="19" t="str"/>
      <c r="N17" s="19" t="str"/>
      <c r="O17" s="19" t="str"/>
      <c r="P17" s="19" t="str"/>
      <c r="Q17" s="19" t="str"/>
    </row>
    <row r="18" ht="82.25" customHeight="1">
      <c r="A18" s="28"/>
      <c r="B18" s="23"/>
      <c r="C18" s="23"/>
      <c r="D18" s="23"/>
      <c r="E18" s="47" t="str">
        <v>≪担当業務≫
【構成レビューと技術判断】
移行構成をレビューし、技術判断に必要な情報を整理。移行後の構成を棚卸しし、構成図にまとめました。
【セッション障害への対応案の比較】
負荷分散時に発生するセッション障害について複数の対策案を比較検討。ベンダーに見積もりと実現可能性の確認を依頼し、事業側の判断を支援しました。
【DNS移管と切り替えの確認】
DNS移管の事前検証と切り替え後の確認を担当しました。移行の実作業はベンダー・事業側が実施し、当方は両者間の調整と構成・手順の確認を担いました。</v>
      </c>
      <c r="F18" s="59" t="str">
        <v>全体約20名（事業側・ベンダー・本人）。</v>
      </c>
      <c r="G18" s="20"/>
      <c r="H18" s="20"/>
      <c r="I18" s="20"/>
      <c r="J18" s="20"/>
      <c r="K18" s="20"/>
      <c r="L18" s="20"/>
      <c r="M18" s="20"/>
      <c r="N18" s="20"/>
      <c r="O18" s="20"/>
      <c r="P18" s="20"/>
      <c r="Q18" s="20"/>
    </row>
    <row r="19" ht="82.25" customHeight="1">
      <c r="A19" s="28"/>
      <c r="B19" s="24"/>
      <c r="C19" s="24"/>
      <c r="D19" s="24"/>
      <c r="E19" s="23"/>
      <c r="F19" s="23"/>
      <c r="G19" s="20"/>
      <c r="H19" s="20"/>
      <c r="I19" s="20"/>
      <c r="J19" s="20"/>
      <c r="K19" s="20"/>
      <c r="L19" s="20"/>
      <c r="M19" s="20"/>
      <c r="N19" s="20"/>
      <c r="O19" s="20"/>
      <c r="P19" s="20"/>
      <c r="Q19" s="20"/>
    </row>
    <row r="20" ht="20" customHeight="1">
      <c r="A20" s="29"/>
      <c r="B20" s="51" t="str">
        <f>DATEDIF(B17,D17,"M")+1&amp;"ヶ月"</f>
        <v>5ヶ月</v>
      </c>
      <c r="C20" s="52"/>
      <c r="D20" s="53"/>
      <c r="E20" s="24"/>
      <c r="F20" s="24"/>
      <c r="G20" s="26"/>
      <c r="H20" s="26"/>
      <c r="I20" s="26"/>
      <c r="J20" s="26"/>
      <c r="K20" s="21"/>
      <c r="L20" s="21"/>
      <c r="M20" s="21"/>
      <c r="N20" s="21"/>
      <c r="O20" s="21"/>
      <c r="P20" s="21"/>
      <c r="Q20" s="21"/>
    </row>
    <row r="21" ht="65" customHeight="1">
      <c r="A21" s="27" t="n">
        <v>3</v>
      </c>
      <c r="B21" s="118" t="n">
        <v>44743</v>
      </c>
      <c r="C21" s="22" t="str">
        <v>-</v>
      </c>
      <c r="D21" s="118" t="n">
        <v>45108</v>
      </c>
      <c r="E21" s="6" t="str">
        <v>■動画配信サービス向け会員マイページの受託開発
会員向け動画閲覧Webアプリケーションを受託開発。Reactによる画面、外部動画APIと連携するバックエンド、AWS上の認証・配信環境まで開発全般を担当し、開発後も修正・運用・保守を行いました。</v>
      </c>
      <c r="F21" s="15" t="str">
        <v>Webアプリケーション開発 / 受託</v>
      </c>
      <c r="G21" s="33" t="str">
        <v>—</v>
      </c>
      <c r="H21" s="33" t="str">
        <v>—</v>
      </c>
      <c r="I21" s="33" t="str">
        <v>—</v>
      </c>
      <c r="J21" s="33" t="str">
        <v>フロントエンド：
React
Material UI
JavaScript
TypeScript（一部）
認証・API：
AWS Amplify
Cognito
Lambda
API Gateway
Node.js
Vimeo API
配信・データストア：
S3
CloudFront
DynamoDB
追加の使用技術：
TypeScript（一部）/ Material UI</v>
      </c>
      <c r="K21" s="19" t="str"/>
      <c r="L21" s="19" t="str"/>
      <c r="M21" s="19" t="str"/>
      <c r="N21" s="19" t="str">
        <v>●</v>
      </c>
      <c r="O21" s="19" t="str"/>
      <c r="P21" s="19" t="str">
        <v>●</v>
      </c>
      <c r="Q21" s="19" t="str"/>
    </row>
    <row r="22" ht="102" customHeight="1">
      <c r="A22" s="28"/>
      <c r="B22" s="23"/>
      <c r="C22" s="23"/>
      <c r="D22" s="23"/>
      <c r="E22" s="47" t="str">
        <v>≪担当業務≫
【動画閲覧・検索画面】
React・Material UIでPC・スマートフォン対応の画面を実装。Vimeoの動画再生、タイトル・講師・カテゴリ・タグ検索、新着・おすすめ動画の表示に対応しました。
【外部API連携とAWS基盤】
Amplify・Lambda・API Gatewayで動画情報取得APIを実装。Cognitoによるログイン、S3・CloudFrontによる配信環境、DynamoDBからの画面用パラメータ取得を構成しました。
【利用・管理上の改善】
日本語検索の文字正規化、通信リトライ、読み込み中・エラー表示に対応。会員CSVからCognitoへ一括登録する処理も実装しました。
≪開発・保守の内訳≫
開発：2022/07 - 09 ／ 修正・運用・保守：2022/10 - 2023/07</v>
      </c>
      <c r="F22" s="59" t="str">
        <v>フロントエンド・API・AWS基盤の開発全般を担当。</v>
      </c>
      <c r="G22" s="23"/>
      <c r="H22" s="23"/>
      <c r="I22" s="23"/>
      <c r="J22" s="23"/>
      <c r="K22" s="20"/>
      <c r="L22" s="20"/>
      <c r="M22" s="20"/>
      <c r="N22" s="20"/>
      <c r="O22" s="20"/>
      <c r="P22" s="20"/>
      <c r="Q22" s="20"/>
    </row>
    <row r="23" ht="102" customHeight="1">
      <c r="A23" s="28"/>
      <c r="B23" s="24"/>
      <c r="C23" s="24"/>
      <c r="D23" s="24"/>
      <c r="E23" s="23"/>
      <c r="F23" s="23"/>
      <c r="G23" s="23"/>
      <c r="H23" s="23"/>
      <c r="I23" s="23"/>
      <c r="J23" s="23"/>
      <c r="K23" s="20"/>
      <c r="L23" s="20"/>
      <c r="M23" s="20"/>
      <c r="N23" s="20"/>
      <c r="O23" s="20"/>
      <c r="P23" s="20"/>
      <c r="Q23" s="20"/>
    </row>
    <row r="24" ht="20" customHeight="1">
      <c r="A24" s="29"/>
      <c r="B24" s="51" t="str">
        <f>DATEDIF(B21,D21,"M")+1&amp;"ヶ月"</f>
        <v>13ヶ月</v>
      </c>
      <c r="C24" s="52"/>
      <c r="D24" s="53"/>
      <c r="E24" s="24"/>
      <c r="F24" s="24"/>
      <c r="G24" s="24"/>
      <c r="H24" s="24"/>
      <c r="I24" s="24"/>
      <c r="J24" s="24"/>
      <c r="K24" s="21"/>
      <c r="L24" s="21"/>
      <c r="M24" s="21"/>
      <c r="N24" s="21"/>
      <c r="O24" s="21"/>
      <c r="P24" s="21"/>
      <c r="Q24" s="21"/>
    </row>
    <row r="25" ht="65" customHeight="1">
      <c r="A25" s="27" t="n">
        <v>4</v>
      </c>
      <c r="B25" s="118" t="n">
        <v>43831</v>
      </c>
      <c r="C25" s="22" t="str">
        <v>-</v>
      </c>
      <c r="D25" s="118" t="n">
        <v>45078</v>
      </c>
      <c r="E25" s="6" t="str">
        <v>■決済プラットフォームのクラウド基盤設計・構築・IaC化
QR決済・ウォレット基盤を提供するミッションクリティカルな決済プラットフォーム。Azureを主軸にAWSを併用し、アプリケーション開発チームと分担してクラウド基盤の設計・構築を担当しました。</v>
      </c>
      <c r="F25" s="15" t="str">
        <v>クラウドエンジニア / 業務委託</v>
      </c>
      <c r="G25" s="33" t="str">
        <v>Linux (RHEL)
Ubuntu 18.04 LTS</v>
      </c>
      <c r="H25" s="33" t="str">
        <v>Azure SQL Database
Amazon RDS</v>
      </c>
      <c r="I25" s="33" t="str">
        <v>—</v>
      </c>
      <c r="J25" s="33" t="str">
        <v>Azure (VMSS
App Service
AD
Storage
DNS
Automation)
AWS (EC2
ECS
S3
ALB
CloudFront
API Gateway
Lambda)
Terraform
Ansible
Docker
GitHub Actions
Azure Monitor
Log Analytics
Amazon CloudWatch
PowerShell</v>
      </c>
      <c r="K25" s="19" t="str"/>
      <c r="L25" s="19" t="str">
        <v>●</v>
      </c>
      <c r="M25" s="19" t="str">
        <v>●</v>
      </c>
      <c r="N25" s="19" t="str">
        <v>●</v>
      </c>
      <c r="O25" s="19" t="str">
        <v>●</v>
      </c>
      <c r="P25" s="19" t="str"/>
      <c r="Q25" s="19" t="str"/>
    </row>
    <row r="26" ht="114" customHeight="1">
      <c r="A26" s="28"/>
      <c r="B26" s="23"/>
      <c r="C26" s="23"/>
      <c r="D26" s="23"/>
      <c r="E26" s="47" t="str">
        <v>≪担当業務≫
【自動スケールを含む基盤設計】
Azure Virtual Machine Scale Sets（VMSS）・App Serviceの自動スケール構成、Storage・Azure AD・DNS・Automationと、AWSを併用する基盤を設計・構築しました。
【環境構築のコード化とCI/CD】
Terraformで開発・検証・本番のほぼ全環境をIaC化し、環境構築を数時間で実施できる状態に整備。GitHub ActionsによるCI/CDと組み合わせ、複数クラウド・複数環境を再現可能な形で管理しました。
【コンテナ化・構成管理・監視設計】
Docker・ECSによるコンテナ化、Ansibleによる構成管理を実施。Azure Monitor・Log Analytics・CloudWatchで監視とSlack・メール通知を設計しました。プロジェクトにより稼働率目標（SLA/SLO）の設定も担当しています。
【担当範囲】
インフラチーム内で1プロダクトを1名で担当し、決済基盤に求められる信頼性と監視を設計しました。運用オンコールは担当範囲外です。</v>
      </c>
      <c r="F26" s="59" t="str">
        <v>インフラチーム3〜10名、全体約30名。1プロダクトを1名体制で担当。</v>
      </c>
      <c r="G26" s="23"/>
      <c r="H26" s="23"/>
      <c r="I26" s="23"/>
      <c r="J26" s="23"/>
      <c r="K26" s="20"/>
      <c r="L26" s="20"/>
      <c r="M26" s="20"/>
      <c r="N26" s="20"/>
      <c r="O26" s="20"/>
      <c r="P26" s="20"/>
      <c r="Q26" s="20"/>
    </row>
    <row r="27" ht="114" customHeight="1">
      <c r="A27" s="28"/>
      <c r="B27" s="24"/>
      <c r="C27" s="24"/>
      <c r="D27" s="24"/>
      <c r="E27" s="23"/>
      <c r="F27" s="23"/>
      <c r="G27" s="23"/>
      <c r="H27" s="23"/>
      <c r="I27" s="23"/>
      <c r="J27" s="23"/>
      <c r="K27" s="20"/>
      <c r="L27" s="20"/>
      <c r="M27" s="20"/>
      <c r="N27" s="20"/>
      <c r="O27" s="20"/>
      <c r="P27" s="20"/>
      <c r="Q27" s="20"/>
    </row>
    <row r="28" ht="20" customHeight="1">
      <c r="A28" s="29"/>
      <c r="B28" s="51" t="str">
        <f>DATEDIF(B25,D25,"M")+1&amp;"ヶ月"</f>
        <v>42ヶ月</v>
      </c>
      <c r="C28" s="52"/>
      <c r="D28" s="53"/>
      <c r="E28" s="24"/>
      <c r="F28" s="24"/>
      <c r="G28" s="24"/>
      <c r="H28" s="24"/>
      <c r="I28" s="24"/>
      <c r="J28" s="24"/>
      <c r="K28" s="21"/>
      <c r="L28" s="21"/>
      <c r="M28" s="21"/>
      <c r="N28" s="21"/>
      <c r="O28" s="21"/>
      <c r="P28" s="21"/>
      <c r="Q28" s="21"/>
    </row>
    <row r="29" ht="65" customHeight="1">
      <c r="A29" s="27" t="n">
        <v>5</v>
      </c>
      <c r="B29" s="120" t="n">
        <v>43586</v>
      </c>
      <c r="C29" s="72" t="str">
        <v>-</v>
      </c>
      <c r="D29" s="120" t="n">
        <v>43800</v>
      </c>
      <c r="E29" s="6" t="str">
        <v>■公衆無線Wi-FiサービスのCMS基盤再構築・ログ調査改善
公衆無線Wi-Fi事業のCMS基盤の自社再構築と、肥大化した調査ログの分析基盤の改善を担当しました。</v>
      </c>
      <c r="F29" s="15" t="str">
        <v>クラウドエンジニア / 業務委託</v>
      </c>
      <c r="G29" s="33" t="str">
        <v>Amazon Linux
Linux (RHEL)</v>
      </c>
      <c r="H29" s="33" t="str">
        <v>PostgreSQL</v>
      </c>
      <c r="I29" s="33" t="str">
        <v>Apache Tomcat
Nginx
Apache HTTP Server</v>
      </c>
      <c r="J29" s="33" t="str">
        <v>Amazon EC2
AWS CloudFormation
Docker
Ansible
Amazon EMR
PySpark
Python</v>
      </c>
      <c r="K29" s="37" t="str"/>
      <c r="L29" s="37" t="str">
        <v>●</v>
      </c>
      <c r="M29" s="37" t="str">
        <v>●</v>
      </c>
      <c r="N29" s="37" t="str">
        <v>●</v>
      </c>
      <c r="O29" s="37" t="str">
        <v>●</v>
      </c>
      <c r="P29" s="37" t="str"/>
      <c r="Q29" s="37" t="str"/>
    </row>
    <row r="30" ht="82.25" customHeight="1">
      <c r="A30" s="28"/>
      <c r="B30" s="23"/>
      <c r="C30" s="23"/>
      <c r="D30" s="23"/>
      <c r="E30" s="47" t="str">
        <v>≪担当業務≫
【CMS基盤の再構築とIaC】
他社ベンダーとの契約終了に伴い、CMS基盤を自社環境に再構築。CloudFormationでインフラをコード化し、同等の環境を短時間で再現できるようにしました。
【ログ調査時間の短縮】
2019/06からAmazon EMR・PySparkによるログ分析基盤を構築。生ログの解析に数日かかっていた調査を、数時間程度に短縮しました。</v>
      </c>
      <c r="F30" s="59" t="str">
        <v>チーム3〜10名（案件による）、全体約10名。</v>
      </c>
      <c r="G30" s="23"/>
      <c r="H30" s="23"/>
      <c r="I30" s="23"/>
      <c r="J30" s="23"/>
      <c r="K30" s="20"/>
      <c r="L30" s="20"/>
      <c r="M30" s="20"/>
      <c r="N30" s="20"/>
      <c r="O30" s="20"/>
      <c r="P30" s="20"/>
      <c r="Q30" s="20"/>
    </row>
    <row r="31" ht="82.25" customHeight="1">
      <c r="A31" s="28"/>
      <c r="B31" s="23"/>
      <c r="C31" s="23"/>
      <c r="D31" s="23"/>
      <c r="E31" s="23"/>
      <c r="F31" s="23"/>
      <c r="G31" s="23"/>
      <c r="H31" s="23"/>
      <c r="I31" s="23"/>
      <c r="J31" s="23"/>
      <c r="K31" s="20"/>
      <c r="L31" s="20"/>
      <c r="M31" s="20"/>
      <c r="N31" s="20"/>
      <c r="O31" s="20"/>
      <c r="P31" s="20"/>
      <c r="Q31" s="20"/>
    </row>
    <row r="32" ht="20" customHeight="1">
      <c r="A32" s="29"/>
      <c r="B32" s="38" t="str">
        <f>DATEDIF(B29,D29,"M")+1&amp;"ヶ月"</f>
        <v>8ヶ月</v>
      </c>
      <c r="C32" s="39"/>
      <c r="D32" s="40"/>
      <c r="E32" s="24"/>
      <c r="F32" s="24"/>
      <c r="G32" s="24"/>
      <c r="H32" s="24"/>
      <c r="I32" s="24"/>
      <c r="J32" s="24"/>
      <c r="K32" s="20"/>
      <c r="L32" s="20"/>
      <c r="M32" s="20"/>
      <c r="N32" s="20"/>
      <c r="O32" s="20"/>
      <c r="P32" s="20"/>
      <c r="Q32" s="20"/>
    </row>
    <row r="33" ht="65" customHeight="1">
      <c r="A33" s="27" t="n">
        <v>6</v>
      </c>
      <c r="B33" s="120" t="n">
        <v>43101</v>
      </c>
      <c r="C33" s="46" t="str">
        <v>-</v>
      </c>
      <c r="D33" s="120" t="n">
        <v>43556</v>
      </c>
      <c r="E33" s="7" t="str">
        <v>■公衆無線Wi-FiサービスのAWSコスト最適化
AWS上のサーバ群を対象に、リソースと構成の見直し、自動スケール、購入オプションの最適化を担当しました。</v>
      </c>
      <c r="F33" s="14" t="str">
        <v>クラウドエンジニア / 業務委託</v>
      </c>
      <c r="G33" s="31" t="str">
        <v>Amazon Linux
Linux (RHEL)
Windows Server</v>
      </c>
      <c r="H33" s="31" t="str">
        <v>—</v>
      </c>
      <c r="I33" s="31" t="str">
        <v>—</v>
      </c>
      <c r="J33" s="31" t="str">
        <v>Amazon EC2
(Auto Scaling
Spot
RI)
Ansible
Jenkins</v>
      </c>
      <c r="K33" s="37" t="str"/>
      <c r="L33" s="37" t="str">
        <v>●</v>
      </c>
      <c r="M33" s="37" t="str">
        <v>●</v>
      </c>
      <c r="N33" s="37" t="str">
        <v>●</v>
      </c>
      <c r="O33" s="37" t="str">
        <v>●</v>
      </c>
      <c r="P33" s="37" t="str">
        <v>●</v>
      </c>
      <c r="Q33" s="37" t="str"/>
    </row>
    <row r="34" ht="82.25" customHeight="1">
      <c r="A34" s="28"/>
      <c r="B34" s="20"/>
      <c r="C34" s="20"/>
      <c r="D34" s="20"/>
      <c r="E34" s="25" t="str">
        <v>≪担当業務≫
【時間帯別のリソース最適化】
Auto Scalingで夜間は台数を縮小し、日中は拡張する構成を導入。過剰なリソースの削減とシステム構成の見直しを行いました。
【AWSコストを3〜4割削減】
スポットインスタンス・リザーブドインスタンスの活用と、時間帯別の台数調整を組み合わせ、AWSコストを3〜4割削減しました。</v>
      </c>
      <c r="F34" s="56" t="str">
        <v>チーム・全体3名。対象サーバ約10台。担当領域の設計〜構築〜運用は単独で遂行。</v>
      </c>
      <c r="G34" s="20"/>
      <c r="H34" s="20"/>
      <c r="I34" s="20"/>
      <c r="J34" s="20"/>
      <c r="K34" s="20"/>
      <c r="L34" s="20"/>
      <c r="M34" s="20"/>
      <c r="N34" s="20"/>
      <c r="O34" s="20"/>
      <c r="P34" s="20"/>
      <c r="Q34" s="20"/>
    </row>
    <row r="35" ht="82.25" customHeight="1">
      <c r="A35" s="28"/>
      <c r="B35" s="20"/>
      <c r="C35" s="20"/>
      <c r="D35" s="20"/>
      <c r="E35" s="20"/>
      <c r="F35" s="20"/>
      <c r="G35" s="20"/>
      <c r="H35" s="20"/>
      <c r="I35" s="20"/>
      <c r="J35" s="20"/>
      <c r="K35" s="20"/>
      <c r="L35" s="20"/>
      <c r="M35" s="20"/>
      <c r="N35" s="20"/>
      <c r="O35" s="20"/>
      <c r="P35" s="20"/>
      <c r="Q35" s="20"/>
    </row>
    <row r="36" ht="20" customHeight="1">
      <c r="A36" s="29"/>
      <c r="B36" s="38" t="str">
        <f>DATEDIF(B33,D33,"M")+1&amp;"ヶ月"</f>
        <v>16ヶ月</v>
      </c>
      <c r="C36" s="39"/>
      <c r="D36" s="40"/>
      <c r="E36" s="26"/>
      <c r="F36" s="26"/>
      <c r="G36" s="26"/>
      <c r="H36" s="26"/>
      <c r="I36" s="26"/>
      <c r="J36" s="26"/>
      <c r="K36" s="20"/>
      <c r="L36" s="20"/>
      <c r="M36" s="20"/>
      <c r="N36" s="20"/>
      <c r="O36" s="20"/>
      <c r="P36" s="20"/>
      <c r="Q36" s="20"/>
    </row>
    <row r="37" ht="65" customHeight="1">
      <c r="A37" s="27" t="n">
        <v>7</v>
      </c>
      <c r="B37" s="120" t="n">
        <v>41974</v>
      </c>
      <c r="C37" s="46" t="str">
        <v>-</v>
      </c>
      <c r="D37" s="120" t="n">
        <v>42552</v>
      </c>
      <c r="E37" s="7" t="str">
        <v>■公衆無線Wi-Fi基盤のAWS移行・新規構築・認証連携
公衆無線Wi-Fiシステムの設計・構築・運用と、オンプレミス環境の老朽化に伴うAWSへの移行を担当しました。</v>
      </c>
      <c r="F37" s="14" t="str">
        <v>クラウドエンジニア / 派遣</v>
      </c>
      <c r="G37" s="31" t="str">
        <v>Amazon Linux
Linux (RHEL)
KVM</v>
      </c>
      <c r="H37" s="31" t="str">
        <v>Amazon RDS
Amazon DynamoDB
Amazon ElastiCache
Amazon Redshift</v>
      </c>
      <c r="I37" s="31" t="str">
        <v>Apache HTTP Server
BIND
Nginx
Apache Tomcat
FreeRADIUS
Zabbix</v>
      </c>
      <c r="J37" s="31" t="str">
        <v>Amazon EC2
Ansible
Jenkins
Apache JMeter
F5 BIG-IP</v>
      </c>
      <c r="K37" s="37" t="str"/>
      <c r="L37" s="37" t="str">
        <v>●</v>
      </c>
      <c r="M37" s="37" t="str">
        <v>●</v>
      </c>
      <c r="N37" s="37" t="str">
        <v>●</v>
      </c>
      <c r="O37" s="37" t="str">
        <v>●</v>
      </c>
      <c r="P37" s="37" t="str">
        <v>●</v>
      </c>
      <c r="Q37" s="37" t="str">
        <v>●</v>
      </c>
    </row>
    <row r="38" ht="88" customHeight="1">
      <c r="A38" s="28"/>
      <c r="B38" s="20"/>
      <c r="C38" s="20"/>
      <c r="D38" s="20"/>
      <c r="E38" s="25" t="str">
        <v>≪担当業務≫
【オンプレミスからAWSへの移行】
公衆無線Wi-Fi基盤のクラウド移行を担当。基盤の設計・構築・運用を通じ、AWS環境とZabbixによる監視、構築自動化を整備しました。
【訪日外国人向けWi-Fiシステムの構築】
2016/01〜07に約100台のサーバを含むシステムを構築。短い日程の中でAnsible・Jenkins・Gitによる自動構築を進め、拡張性と耐障害性を考慮した構成で、大きな問題なくサービスインしました。ベンダー調整も担当しました。
【海外ローミングの認証連携】
FreeRADIUSによる海外ローミングサービス用の端末認証サーバを構築し、海外通信事業者との仕様調整を担当しました。</v>
      </c>
      <c r="F38" s="56" t="str">
        <v>チーム20名、全体約20名。システム全体のサーバ規模は約1,000台。</v>
      </c>
      <c r="G38" s="20"/>
      <c r="H38" s="20"/>
      <c r="I38" s="20"/>
      <c r="J38" s="20"/>
      <c r="K38" s="20"/>
      <c r="L38" s="20"/>
      <c r="M38" s="20"/>
      <c r="N38" s="20"/>
      <c r="O38" s="20"/>
      <c r="P38" s="20"/>
      <c r="Q38" s="20"/>
    </row>
    <row r="39" ht="88" customHeight="1">
      <c r="A39" s="28"/>
      <c r="B39" s="20"/>
      <c r="C39" s="20"/>
      <c r="D39" s="20"/>
      <c r="E39" s="20"/>
      <c r="F39" s="20"/>
      <c r="G39" s="20"/>
      <c r="H39" s="20"/>
      <c r="I39" s="20"/>
      <c r="J39" s="20"/>
      <c r="K39" s="20"/>
      <c r="L39" s="20"/>
      <c r="M39" s="20"/>
      <c r="N39" s="20"/>
      <c r="O39" s="20"/>
      <c r="P39" s="20"/>
      <c r="Q39" s="20"/>
    </row>
    <row r="40" ht="20" customHeight="1">
      <c r="A40" s="29"/>
      <c r="B40" s="38" t="str">
        <f>DATEDIF(B37,D37,"M")+1&amp;"ヶ月"</f>
        <v>20ヶ月</v>
      </c>
      <c r="C40" s="39"/>
      <c r="D40" s="40"/>
      <c r="E40" s="26"/>
      <c r="F40" s="26"/>
      <c r="G40" s="26"/>
      <c r="H40" s="26"/>
      <c r="I40" s="26"/>
      <c r="J40" s="26"/>
      <c r="K40" s="20"/>
      <c r="L40" s="20"/>
      <c r="M40" s="20"/>
      <c r="N40" s="20"/>
      <c r="O40" s="20"/>
      <c r="P40" s="20"/>
      <c r="Q40" s="20"/>
    </row>
    <row r="41" ht="65" customHeight="1">
      <c r="A41" s="27" t="n">
        <v>8</v>
      </c>
      <c r="B41" s="120" t="n">
        <v>41518</v>
      </c>
      <c r="C41" s="46" t="str">
        <v>-</v>
      </c>
      <c r="D41" s="120" t="n">
        <v>41944</v>
      </c>
      <c r="E41" s="7" t="str">
        <v>■通信キャリア向けシステムの保守・認証DB基盤構築
携帯キャリア向け端末認証システムのサーバ・ネットワーク保守と、認証データベース基盤の新規構築を担当しました。</v>
      </c>
      <c r="F41" s="14" t="str">
        <v>カスタマーエンジニア / 派遣（認証DB構築ではPM兼任）</v>
      </c>
      <c r="G41" s="31" t="str">
        <v>Linux (RHEL)
Oracle Linux
Solaris
VMware ESXi</v>
      </c>
      <c r="H41" s="31" t="str">
        <v>Oracle Database</v>
      </c>
      <c r="I41" s="31" t="str">
        <v>—</v>
      </c>
      <c r="J41" s="31" t="str">
        <v>Cisco</v>
      </c>
      <c r="K41" s="37" t="str"/>
      <c r="L41" s="37" t="str"/>
      <c r="M41" s="37" t="str"/>
      <c r="N41" s="37" t="str">
        <v>●</v>
      </c>
      <c r="O41" s="37" t="str"/>
      <c r="P41" s="37" t="str">
        <v>●</v>
      </c>
      <c r="Q41" s="37" t="str"/>
    </row>
    <row r="42" ht="82.25" customHeight="1">
      <c r="A42" s="28"/>
      <c r="B42" s="20"/>
      <c r="C42" s="20"/>
      <c r="D42" s="20"/>
      <c r="E42" s="25" t="str">
        <v>≪担当業務≫
【大規模システムの保守・運用】
約500台規模のシステムでサーバ・ネットワーク保守・運用と、保守業務のためのユーザー・ベンダー調整を担当。リソース分析や正常性確認を経験しました。
【認証DB基盤の構築とPM兼任】
2014/01〜06に約30台の認証DBシステムを構築。約10名のメンバーの進捗管理・作業割り振り・品質管理を行い、Linux系サーバとCisco機器によるネットワーク構築、構築手順書の作成も担当しました。
【変更への対応と品質管理】
リスケジュールや急な設計変更の際も、メンバーとの密なコミュニケーションで作業漏れと遅延を防ぎ、品質を担保しました。</v>
      </c>
      <c r="F42" s="56" t="str">
        <v>チーム10〜30名、全体約30名。システム全体約500台。認証DB構築は約30台・メンバー約10名。</v>
      </c>
      <c r="G42" s="20"/>
      <c r="H42" s="20"/>
      <c r="I42" s="20"/>
      <c r="J42" s="20"/>
      <c r="K42" s="20"/>
      <c r="L42" s="20"/>
      <c r="M42" s="20"/>
      <c r="N42" s="20"/>
      <c r="O42" s="20"/>
      <c r="P42" s="20"/>
      <c r="Q42" s="20"/>
    </row>
    <row r="43" ht="82.25" customHeight="1">
      <c r="A43" s="28"/>
      <c r="B43" s="20"/>
      <c r="C43" s="20"/>
      <c r="D43" s="20"/>
      <c r="E43" s="20"/>
      <c r="F43" s="20"/>
      <c r="G43" s="20"/>
      <c r="H43" s="20"/>
      <c r="I43" s="20"/>
      <c r="J43" s="20"/>
      <c r="K43" s="20"/>
      <c r="L43" s="20"/>
      <c r="M43" s="20"/>
      <c r="N43" s="20"/>
      <c r="O43" s="20"/>
      <c r="P43" s="20"/>
      <c r="Q43" s="20"/>
    </row>
    <row r="44" ht="20" customHeight="1">
      <c r="A44" s="29"/>
      <c r="B44" s="38" t="str">
        <f>DATEDIF(B41,D41,"M")+1&amp;"ヶ月"</f>
        <v>15ヶ月</v>
      </c>
      <c r="C44" s="39"/>
      <c r="D44" s="40"/>
      <c r="E44" s="26"/>
      <c r="F44" s="26"/>
      <c r="G44" s="26"/>
      <c r="H44" s="26"/>
      <c r="I44" s="26"/>
      <c r="J44" s="26"/>
      <c r="K44" s="20"/>
      <c r="L44" s="20"/>
      <c r="M44" s="20"/>
      <c r="N44" s="20"/>
      <c r="O44" s="20"/>
      <c r="P44" s="20"/>
      <c r="Q44" s="20"/>
    </row>
    <row r="45" ht="65" customHeight="1">
      <c r="A45" s="27" t="n">
        <v>9</v>
      </c>
      <c r="B45" s="120" t="n">
        <v>40179</v>
      </c>
      <c r="C45" s="46" t="str">
        <v>-</v>
      </c>
      <c r="D45" s="120" t="n">
        <v>41275</v>
      </c>
      <c r="E45" s="7" t="str">
        <v>■社内基幹ネットワークのリプレイス
社内基幹ネットワークの更新に際し、設計・構築から運用までを担当。社内インフラ業務と並行して取り組みました。</v>
      </c>
      <c r="F45" s="14" t="str">
        <v>社内SE</v>
      </c>
      <c r="G45" s="31" t="str">
        <v>—</v>
      </c>
      <c r="H45" s="31" t="str">
        <v>—</v>
      </c>
      <c r="I45" s="31" t="str">
        <v>—</v>
      </c>
      <c r="J45" s="31" t="str">
        <v>Cisco
Allied Telesis
HP ProCurve
ALAXALA</v>
      </c>
      <c r="K45" s="37" t="str"/>
      <c r="L45" s="37" t="str">
        <v>●</v>
      </c>
      <c r="M45" s="37" t="str">
        <v>●</v>
      </c>
      <c r="N45" s="37" t="str">
        <v>●</v>
      </c>
      <c r="O45" s="37" t="str">
        <v>●</v>
      </c>
      <c r="P45" s="37" t="str">
        <v>●</v>
      </c>
      <c r="Q45" s="37" t="str">
        <v>●</v>
      </c>
    </row>
    <row r="46" ht="82.25" customHeight="1">
      <c r="A46" s="28"/>
      <c r="B46" s="20"/>
      <c r="C46" s="20"/>
      <c r="D46" s="20"/>
      <c r="E46" s="25" t="str">
        <v>≪担当業務≫
【設計から機器実装・運用まで】
ネットワーク設計、コンフィグ作成、機器の実装・配線、運用を一貫して担当。社内調整とドキュメント作成も行いました。
【冗長化・通信制御】
GSRPによる冗長化、スタティックルーティング、QoS、タグVLAN、L2ループ検知を扱い、約1,500台のクライアントを支えるネットワークを構成しました。</v>
      </c>
      <c r="F46" s="56" t="str">
        <v>チーム・全体3名。L3スイッチ4台、L2スイッチ20台、クライアント約1,500台規模。</v>
      </c>
      <c r="G46" s="20"/>
      <c r="H46" s="20"/>
      <c r="I46" s="20"/>
      <c r="J46" s="20"/>
      <c r="K46" s="20"/>
      <c r="L46" s="20"/>
      <c r="M46" s="20"/>
      <c r="N46" s="20"/>
      <c r="O46" s="20"/>
      <c r="P46" s="20"/>
      <c r="Q46" s="20"/>
    </row>
    <row r="47" ht="82.25" customHeight="1">
      <c r="A47" s="28"/>
      <c r="B47" s="20"/>
      <c r="C47" s="20"/>
      <c r="D47" s="20"/>
      <c r="E47" s="20"/>
      <c r="F47" s="20"/>
      <c r="G47" s="20"/>
      <c r="H47" s="20"/>
      <c r="I47" s="20"/>
      <c r="J47" s="20"/>
      <c r="K47" s="20"/>
      <c r="L47" s="20"/>
      <c r="M47" s="20"/>
      <c r="N47" s="20"/>
      <c r="O47" s="20"/>
      <c r="P47" s="20"/>
      <c r="Q47" s="20"/>
    </row>
    <row r="48" ht="20" customHeight="1">
      <c r="A48" s="29"/>
      <c r="B48" s="38" t="str">
        <f>DATEDIF(B45,D45,"M")+1&amp;"ヶ月"</f>
        <v>37ヶ月</v>
      </c>
      <c r="C48" s="39"/>
      <c r="D48" s="40"/>
      <c r="E48" s="26"/>
      <c r="F48" s="26"/>
      <c r="G48" s="26"/>
      <c r="H48" s="26"/>
      <c r="I48" s="26"/>
      <c r="J48" s="26"/>
      <c r="K48" s="20"/>
      <c r="L48" s="20"/>
      <c r="M48" s="20"/>
      <c r="N48" s="20"/>
      <c r="O48" s="20"/>
      <c r="P48" s="20"/>
      <c r="Q48" s="20"/>
    </row>
    <row r="49" ht="65" customHeight="1">
      <c r="A49" t="n" s="122">
        <v>10</v>
      </c>
      <c r="B49" s="123" t="n">
        <v>39539</v>
      </c>
      <c r="C49" t="str" s="124">
        <v>-</v>
      </c>
      <c r="D49" s="125" t="n">
        <v>41275</v>
      </c>
      <c r="E49" t="str" s="126">
        <v>■社内インフラの設計・構築・運用
社内のLinux・Windowsサーバとネットワークを対象に、設計・構築・運用から障害対応、利用者支援まで担当しました。</v>
      </c>
      <c r="F49" t="str" s="127">
        <v>社内SE</v>
      </c>
      <c r="G49" t="str" s="128">
        <v>Linux (RHEL)
FreeBSD
Windows 2000 Server
Windows Server 2003
Windows Server 2008</v>
      </c>
      <c r="H49" t="str" s="128">
        <v>Oracle Database
MySQL</v>
      </c>
      <c r="I49" t="str" s="128">
        <v>Active Directory
Apache HTTP Server
IIS
BIND
Postfix
Squid</v>
      </c>
      <c r="J49" t="str" s="128">
        <v>—</v>
      </c>
      <c r="K49" t="str" s="129"/>
      <c r="L49" t="str" s="129">
        <v>●</v>
      </c>
      <c r="M49" t="str" s="129">
        <v>●</v>
      </c>
      <c r="N49" t="str" s="129">
        <v>●</v>
      </c>
      <c r="O49" t="str" s="129">
        <v>●</v>
      </c>
      <c r="P49" t="str" s="129">
        <v>●</v>
      </c>
      <c r="Q49" t="str" s="129">
        <v>●</v>
      </c>
    </row>
    <row r="50" ht="82.25" customHeight="1">
      <c r="A50" s="130"/>
      <c r="B50" s="131"/>
      <c r="C50" s="131"/>
      <c r="D50" s="131"/>
      <c r="E50" t="str" s="132">
        <v>≪担当業務≫
【Linux・Windowsサーバの設計・構築・運用】
Linux系のWeb・メール・DNSサーバ、Windows系のWeb・ファイルサーバ、Active Directoryの設計・構築・運用を担当しました。
【障害対応・セキュリティ設定・利用者支援】
ネットワーク・サーバの障害対応、ファイアウォールのセキュリティポリシー設定・運用、ヘルプデスクを担当。物理基盤の構築から運用・障害対応までの基礎と、部署間調整を経験しました。</v>
      </c>
      <c r="F50" t="str" s="133">
        <v>チーム10名、全体約10名。サーバ約100台、クライアント約1,500台規模。</v>
      </c>
      <c r="G50" s="131"/>
      <c r="H50" s="131"/>
      <c r="I50" s="131"/>
      <c r="J50" s="131"/>
      <c r="K50" s="134"/>
      <c r="L50" s="134"/>
      <c r="M50" s="134"/>
      <c r="N50" s="134"/>
      <c r="O50" s="134"/>
      <c r="P50" s="134"/>
      <c r="Q50" s="134"/>
    </row>
    <row r="51" ht="82.25" customHeight="1">
      <c r="A51" s="130"/>
      <c r="B51" s="135"/>
      <c r="C51" s="135"/>
      <c r="D51" s="135"/>
      <c r="E51" s="131"/>
      <c r="F51" s="131"/>
      <c r="G51" s="131"/>
      <c r="H51" s="131"/>
      <c r="I51" s="131"/>
      <c r="J51" s="131"/>
      <c r="K51" s="134"/>
      <c r="L51" s="134"/>
      <c r="M51" s="134"/>
      <c r="N51" s="134"/>
      <c r="O51" s="134"/>
      <c r="P51" s="134"/>
      <c r="Q51" s="134"/>
    </row>
    <row r="52" ht="20" customHeight="1">
      <c r="A52" s="136"/>
      <c r="B52" t="str" s="137">
        <f>DATEDIF(B49,D49,"M")+1&amp;"ヶ月"</f>
        <v>58ヶ月</v>
      </c>
      <c r="C52" s="138"/>
      <c r="D52" s="139"/>
      <c r="E52" s="135"/>
      <c r="F52" s="135"/>
      <c r="G52" s="135"/>
      <c r="H52" s="135"/>
      <c r="I52" s="135"/>
      <c r="J52" s="135"/>
      <c r="K52" s="140"/>
      <c r="L52" s="140"/>
      <c r="M52" s="140"/>
      <c r="N52" s="140"/>
      <c r="O52" s="140"/>
      <c r="P52" s="140"/>
      <c r="Q52" s="140"/>
    </row>
  </sheetData>
  <mergeCells>
    <mergeCell ref="H2:Q2"/>
    <mergeCell ref="A11:D12"/>
    <mergeCell ref="A1:Q1"/>
    <mergeCell ref="F3:G3"/>
    <mergeCell ref="E11:E12"/>
    <mergeCell ref="A9:B10"/>
    <mergeCell ref="C7:Q7"/>
    <mergeCell ref="A2:B2"/>
    <mergeCell ref="C3:E3"/>
    <mergeCell ref="C9:Q10"/>
    <mergeCell ref="C4:E4"/>
    <mergeCell ref="C5:E5"/>
    <mergeCell ref="H4:Q4"/>
    <mergeCell ref="F4:G4"/>
    <mergeCell ref="A6:B6"/>
    <mergeCell ref="K11:Q11"/>
    <mergeCell ref="A8:B8"/>
    <mergeCell ref="F11:F12"/>
    <mergeCell ref="C6:Q6"/>
    <mergeCell ref="G11:G12"/>
    <mergeCell ref="I11:I12"/>
    <mergeCell ref="C2:E2"/>
    <mergeCell ref="C8:Q8"/>
    <mergeCell ref="A3:B3"/>
    <mergeCell ref="F2:G2"/>
    <mergeCell ref="A5:B5"/>
    <mergeCell ref="A4:B4"/>
    <mergeCell ref="H11:H12"/>
    <mergeCell ref="J11:J12"/>
    <mergeCell ref="H3:Q3"/>
    <mergeCell ref="H5:Q5"/>
    <mergeCell ref="A7:B7"/>
    <mergeCell ref="F5:G5"/>
    <mergeCell ref="A13:A16"/>
    <mergeCell ref="B13:B15"/>
    <mergeCell ref="C13:C15"/>
    <mergeCell ref="D13:D15"/>
    <mergeCell ref="B16:D16"/>
    <mergeCell ref="E14:E16"/>
    <mergeCell ref="F14:F16"/>
    <mergeCell ref="G13:G16"/>
    <mergeCell ref="H13:H16"/>
    <mergeCell ref="I13:I16"/>
    <mergeCell ref="J13:J16"/>
    <mergeCell ref="K13:K16"/>
    <mergeCell ref="L13:L16"/>
    <mergeCell ref="M13:M16"/>
    <mergeCell ref="N13:N16"/>
    <mergeCell ref="O13:O16"/>
    <mergeCell ref="P13:P16"/>
    <mergeCell ref="Q13:Q16"/>
    <mergeCell ref="A17:A20"/>
    <mergeCell ref="B17:B19"/>
    <mergeCell ref="C17:C19"/>
    <mergeCell ref="D17:D19"/>
    <mergeCell ref="B20:D20"/>
    <mergeCell ref="E18:E20"/>
    <mergeCell ref="F18:F20"/>
    <mergeCell ref="G17:G20"/>
    <mergeCell ref="H17:H20"/>
    <mergeCell ref="I17:I20"/>
    <mergeCell ref="J17:J20"/>
    <mergeCell ref="K17:K20"/>
    <mergeCell ref="L17:L20"/>
    <mergeCell ref="M17:M20"/>
    <mergeCell ref="N17:N20"/>
    <mergeCell ref="O17:O20"/>
    <mergeCell ref="P17:P20"/>
    <mergeCell ref="Q17:Q20"/>
    <mergeCell ref="A21:A24"/>
    <mergeCell ref="B21:B23"/>
    <mergeCell ref="C21:C23"/>
    <mergeCell ref="D21:D23"/>
    <mergeCell ref="B24:D24"/>
    <mergeCell ref="E22:E24"/>
    <mergeCell ref="F22:F24"/>
    <mergeCell ref="G21:G24"/>
    <mergeCell ref="H21:H24"/>
    <mergeCell ref="I21:I24"/>
    <mergeCell ref="J21:J24"/>
    <mergeCell ref="K21:K24"/>
    <mergeCell ref="L21:L24"/>
    <mergeCell ref="M21:M24"/>
    <mergeCell ref="N21:N24"/>
    <mergeCell ref="O21:O24"/>
    <mergeCell ref="P21:P24"/>
    <mergeCell ref="Q21:Q24"/>
    <mergeCell ref="A25:A28"/>
    <mergeCell ref="B25:B27"/>
    <mergeCell ref="C25:C27"/>
    <mergeCell ref="D25:D27"/>
    <mergeCell ref="B28:D28"/>
    <mergeCell ref="E26:E28"/>
    <mergeCell ref="F26:F28"/>
    <mergeCell ref="G25:G28"/>
    <mergeCell ref="H25:H28"/>
    <mergeCell ref="I25:I28"/>
    <mergeCell ref="J25:J28"/>
    <mergeCell ref="K25:K28"/>
    <mergeCell ref="L25:L28"/>
    <mergeCell ref="M25:M28"/>
    <mergeCell ref="N25:N28"/>
    <mergeCell ref="O25:O28"/>
    <mergeCell ref="P25:P28"/>
    <mergeCell ref="Q25:Q28"/>
    <mergeCell ref="A29:A32"/>
    <mergeCell ref="B29:B31"/>
    <mergeCell ref="C29:C31"/>
    <mergeCell ref="D29:D31"/>
    <mergeCell ref="B32:D32"/>
    <mergeCell ref="E30:E32"/>
    <mergeCell ref="F30:F32"/>
    <mergeCell ref="G29:G32"/>
    <mergeCell ref="H29:H32"/>
    <mergeCell ref="I29:I32"/>
    <mergeCell ref="J29:J32"/>
    <mergeCell ref="K29:K32"/>
    <mergeCell ref="L29:L32"/>
    <mergeCell ref="M29:M32"/>
    <mergeCell ref="N29:N32"/>
    <mergeCell ref="O29:O32"/>
    <mergeCell ref="P29:P32"/>
    <mergeCell ref="Q29:Q32"/>
    <mergeCell ref="A33:A36"/>
    <mergeCell ref="B33:B35"/>
    <mergeCell ref="C33:C35"/>
    <mergeCell ref="D33:D35"/>
    <mergeCell ref="B36:D36"/>
    <mergeCell ref="E34:E36"/>
    <mergeCell ref="F34:F36"/>
    <mergeCell ref="G33:G36"/>
    <mergeCell ref="H33:H36"/>
    <mergeCell ref="I33:I36"/>
    <mergeCell ref="J33:J36"/>
    <mergeCell ref="K33:K36"/>
    <mergeCell ref="L33:L36"/>
    <mergeCell ref="M33:M36"/>
    <mergeCell ref="N33:N36"/>
    <mergeCell ref="O33:O36"/>
    <mergeCell ref="P33:P36"/>
    <mergeCell ref="Q33:Q36"/>
    <mergeCell ref="A37:A40"/>
    <mergeCell ref="B37:B39"/>
    <mergeCell ref="C37:C39"/>
    <mergeCell ref="D37:D39"/>
    <mergeCell ref="B40:D40"/>
    <mergeCell ref="E38:E40"/>
    <mergeCell ref="F38:F40"/>
    <mergeCell ref="G37:G40"/>
    <mergeCell ref="H37:H40"/>
    <mergeCell ref="I37:I40"/>
    <mergeCell ref="J37:J40"/>
    <mergeCell ref="K37:K40"/>
    <mergeCell ref="L37:L40"/>
    <mergeCell ref="M37:M40"/>
    <mergeCell ref="N37:N40"/>
    <mergeCell ref="O37:O40"/>
    <mergeCell ref="P37:P40"/>
    <mergeCell ref="Q37:Q40"/>
    <mergeCell ref="A41:A44"/>
    <mergeCell ref="B41:B43"/>
    <mergeCell ref="C41:C43"/>
    <mergeCell ref="D41:D43"/>
    <mergeCell ref="B44:D44"/>
    <mergeCell ref="E42:E44"/>
    <mergeCell ref="F42:F44"/>
    <mergeCell ref="G41:G44"/>
    <mergeCell ref="H41:H44"/>
    <mergeCell ref="I41:I44"/>
    <mergeCell ref="J41:J44"/>
    <mergeCell ref="K41:K44"/>
    <mergeCell ref="L41:L44"/>
    <mergeCell ref="M41:M44"/>
    <mergeCell ref="N41:N44"/>
    <mergeCell ref="O41:O44"/>
    <mergeCell ref="P41:P44"/>
    <mergeCell ref="Q41:Q44"/>
    <mergeCell ref="A45:A48"/>
    <mergeCell ref="B45:B47"/>
    <mergeCell ref="C45:C47"/>
    <mergeCell ref="D45:D47"/>
    <mergeCell ref="B48:D48"/>
    <mergeCell ref="E46:E48"/>
    <mergeCell ref="F46:F48"/>
    <mergeCell ref="G45:G48"/>
    <mergeCell ref="H45:H48"/>
    <mergeCell ref="I45:I48"/>
    <mergeCell ref="J45:J48"/>
    <mergeCell ref="K45:K48"/>
    <mergeCell ref="L45:L48"/>
    <mergeCell ref="M45:M48"/>
    <mergeCell ref="N45:N48"/>
    <mergeCell ref="O45:O48"/>
    <mergeCell ref="P45:P48"/>
    <mergeCell ref="Q45:Q48"/>
    <mergeCell ref="A49:A52"/>
    <mergeCell ref="B49:B51"/>
    <mergeCell ref="C49:C51"/>
    <mergeCell ref="D49:D51"/>
    <mergeCell ref="B52:D52"/>
    <mergeCell ref="E50:E52"/>
    <mergeCell ref="F50:F52"/>
    <mergeCell ref="G49:G52"/>
    <mergeCell ref="H49:H52"/>
    <mergeCell ref="I49:I52"/>
    <mergeCell ref="J49:J52"/>
    <mergeCell ref="K49:K52"/>
    <mergeCell ref="L49:L52"/>
    <mergeCell ref="M49:M52"/>
    <mergeCell ref="N49:N52"/>
    <mergeCell ref="O49:O52"/>
    <mergeCell ref="P49:P52"/>
    <mergeCell ref="Q49:Q52"/>
  </mergeCells>
  <dataValidations count="2">
    <dataValidation allowBlank="1" showInputMessage="1" showErrorMessage="1" sqref="A1:B9 A11:B74 C1:J9 C11:J74 K1:Q9 K11:Q12 K33:Q74"/>
    <dataValidation type="list" allowBlank="1" showInputMessage="1" showErrorMessage="1" sqref="K13:Q52">
      <formula1>"●"</formula1>
    </dataValidation>
  </dataValidations>
  <printOptions horizontalCentered="1" verticalCentered="1"/>
  <pageMargins left="0" right="0" top="0" bottom="0" header="0" footer="0"/>
  <pageSetup paperSize="9" scale="47" fitToHeight="0" orientation="portrait" horizontalDpi="300" verticalDpi="300"/>
</worksheet>
</file>

<file path=xl/worksheets/sheet2.xml><?xml version="1.0" encoding="utf-8"?>
<worksheet xmlns="http://schemas.openxmlformats.org/spreadsheetml/2006/main">
  <sheetPr>
    <pageSetUpPr fitToPage="1"/>
  </sheetPr>
  <sheetViews>
    <sheetView showGridLines="0" workbookViewId="0">
      <pane ySplit="1" topLeftCell="A2" activePane="bottomLeft" state="frozen"/>
    </sheetView>
  </sheetViews>
  <sheetFormatPr baseColWidth="10" defaultColWidth="8.83203125" defaultRowHeight="14"/>
  <cols>
    <col min="1" max="1" width="18" customWidth="1"/>
    <col min="2" max="2" width="46" customWidth="1"/>
    <col min="3" max="3" width="10" customWidth="1"/>
    <col min="4" max="4" width="6" customWidth="1"/>
    <col min="5" max="5" width="70" customWidth="1"/>
  </cols>
  <sheetData>
    <row r="1" ht="22" customHeight="1">
      <c r="A1" s="8" t="str">
        <v>分類</v>
      </c>
      <c r="B1" s="8" t="str">
        <v>技術</v>
      </c>
      <c r="C1" s="8" t="str">
        <v>経験</v>
      </c>
      <c r="D1" s="8" t="str">
        <v>現在</v>
      </c>
      <c r="E1" s="8" t="str">
        <v>使用場面</v>
      </c>
    </row>
    <row r="2" ht="32" customHeight="1">
      <c r="A2" s="16" t="str">
        <v>クラウド(AWS)</v>
      </c>
      <c r="B2" s="9" t="str">
        <v>コンピュート(EC2/ECS/Fargate/Lambda)</v>
      </c>
      <c r="C2" s="10" t="str">
        <v>約10年</v>
      </c>
      <c r="D2" s="11" t="str">
        <v>●</v>
      </c>
      <c r="E2" s="12" t="str">
        <v>決済基盤で併用、自社サービスの予約API・Zoom自動割当・AIレポートを Lambda(コンテナイメージ)で実装</v>
      </c>
    </row>
    <row r="3" ht="30" customHeight="1">
      <c r="A3" s="17"/>
      <c r="B3" s="9" t="str">
        <v>ストレージ・DB(S3/RDS/DynamoDB/ElastiCache)</v>
      </c>
      <c r="C3" s="10" t="str">
        <v>約7年</v>
      </c>
      <c r="D3" s="11" t="str">
        <v>●</v>
      </c>
      <c r="E3" s="12" t="str">
        <v>Wi-Fi 基盤・決済基盤のデータストア</v>
      </c>
    </row>
    <row r="4" ht="32" customHeight="1">
      <c r="A4" s="17"/>
      <c r="B4" s="9" t="str">
        <v>ネットワーク・配信(VPC/ELB/CloudFront/Route 53/API Gateway)</v>
      </c>
      <c r="C4" s="10" t="str">
        <v>約10年</v>
      </c>
      <c r="D4" s="11" t="str">
        <v>●</v>
      </c>
      <c r="E4" s="12" t="str">
        <v>決済基盤・自社サービスのAPI/配信/DNS、ゾーン移管・SPF/DKIM/DMARC</v>
      </c>
    </row>
    <row r="5" ht="32" customHeight="1">
      <c r="A5" s="17"/>
      <c r="B5" s="9" t="str">
        <v>運用・コスト(CloudWatch/IAM/Auto Scaling/Spot・RI)</v>
      </c>
      <c r="C5" s="10" t="str">
        <v>約10年</v>
      </c>
      <c r="D5" s="11" t="str">
        <v>●</v>
      </c>
      <c r="E5" s="12" t="str">
        <v>アラーム→Slack の監視設計、時間帯別の Auto Scaling とスポット/リザーブド化でコスト3〜4割削減</v>
      </c>
    </row>
    <row r="6" ht="19" customHeight="1">
      <c r="A6" s="18"/>
      <c r="B6" s="9" t="str">
        <v>データ処理(EMR/PySpark)</v>
      </c>
      <c r="C6" s="10" t="str">
        <v>1年未満</v>
      </c>
      <c r="D6" s="11" t="str"/>
      <c r="E6" s="12" t="str">
        <v>ログ調査基盤(数日→数時間程度に短縮)</v>
      </c>
    </row>
    <row r="7" ht="30" customHeight="1">
      <c r="A7" s="16" t="str">
        <v>クラウド(Azure)</v>
      </c>
      <c r="B7" s="9" t="str">
        <v>コンピュート(Virtual Machine Scale Sets/App Service)</v>
      </c>
      <c r="C7" s="10" t="str">
        <v>約3.5年</v>
      </c>
      <c r="D7" s="11" t="str"/>
      <c r="E7" s="12" t="str">
        <v>決済プラットフォームの自動スケール構成を設計・構築</v>
      </c>
    </row>
    <row r="8" ht="19" customHeight="1">
      <c r="A8" s="17"/>
      <c r="B8" s="9" t="str">
        <v>ストレージ・DB(Storage/SQL Database)</v>
      </c>
      <c r="C8" s="10" t="str">
        <v>約3.5年</v>
      </c>
      <c r="D8" s="11" t="str"/>
      <c r="E8" s="12" t="str">
        <v>決済プラットフォームのデータストア</v>
      </c>
    </row>
    <row r="9" ht="30" customHeight="1">
      <c r="A9" s="17"/>
      <c r="B9" s="9" t="str">
        <v>ID・ネットワーク(Azure AD(現 Microsoft Entra ID)/DNS)</v>
      </c>
      <c r="C9" s="10" t="str">
        <v>約3.5年</v>
      </c>
      <c r="D9" s="11" t="str"/>
      <c r="E9" s="12" t="str">
        <v>認証基盤・名前解決</v>
      </c>
    </row>
    <row r="10" ht="30" customHeight="1">
      <c r="A10" s="18"/>
      <c r="B10" s="9" t="str">
        <v>運用(Monitor/Log Analytics/Automation)</v>
      </c>
      <c r="C10" s="10" t="str">
        <v>約3.5年</v>
      </c>
      <c r="D10" s="11" t="str"/>
      <c r="E10" s="12" t="str">
        <v>監視設計・Slack/メール通知、稼働率目標(SLA/SLO)の設定</v>
      </c>
    </row>
    <row r="11" ht="19" customHeight="1">
      <c r="A11" s="16" t="str">
        <v>IaC・CI/CD・コンテナ</v>
      </c>
      <c r="B11" s="9" t="str">
        <v>Terraform</v>
      </c>
      <c r="C11" s="10" t="str">
        <v>約3.5年</v>
      </c>
      <c r="D11" s="11" t="str"/>
      <c r="E11" s="12" t="str">
        <v>開発・検証・本番のほぼ全環境を IaC 化(環境構築を数時間で)</v>
      </c>
    </row>
    <row r="12" ht="19" customHeight="1">
      <c r="A12" s="17"/>
      <c r="B12" s="9" t="str">
        <v>AWS CloudFormation</v>
      </c>
      <c r="C12" s="10" t="str">
        <v>1年未満</v>
      </c>
      <c r="D12" s="11" t="str"/>
      <c r="E12" s="12" t="str">
        <v>CMS基盤の再構築をコード化</v>
      </c>
    </row>
    <row r="13" ht="19" customHeight="1">
      <c r="A13" s="17"/>
      <c r="B13" s="9" t="str">
        <v>Ansible</v>
      </c>
      <c r="C13" s="10" t="str">
        <v>約6年</v>
      </c>
      <c r="D13" s="11" t="str"/>
      <c r="E13" s="12" t="str">
        <v>Wi-Fi 基盤の自動構築、決済基盤の構成管理</v>
      </c>
    </row>
    <row r="14" ht="19" customHeight="1">
      <c r="A14" s="17"/>
      <c r="B14" s="9" t="str">
        <v>GitHub Actions</v>
      </c>
      <c r="C14" s="10" t="str">
        <v>約6年</v>
      </c>
      <c r="D14" s="11" t="str">
        <v>●</v>
      </c>
      <c r="E14" s="12" t="str">
        <v>CI/CD、E2E連動デプロイ</v>
      </c>
    </row>
    <row r="15" ht="19" customHeight="1">
      <c r="A15" s="17"/>
      <c r="B15" s="9" t="str">
        <v>Jenkins</v>
      </c>
      <c r="C15" s="10" t="str">
        <v>約2年</v>
      </c>
      <c r="D15" s="11" t="str"/>
      <c r="E15" s="12" t="str">
        <v>Wi-Fi 基盤の自動化</v>
      </c>
    </row>
    <row r="16" ht="19" customHeight="1">
      <c r="A16" s="18"/>
      <c r="B16" s="9" t="str">
        <v>Docker</v>
      </c>
      <c r="C16" s="10" t="str">
        <v>約7年</v>
      </c>
      <c r="D16" s="11" t="str">
        <v>●</v>
      </c>
      <c r="E16" s="12" t="str">
        <v>コンテナ化・イメージビルド</v>
      </c>
    </row>
    <row r="17" ht="30" customHeight="1">
      <c r="A17" s="16" t="str">
        <v>OS・仮想化</v>
      </c>
      <c r="B17" s="9" t="str">
        <v>Linux(RHEL/Amazon Linux/Ubuntu)</v>
      </c>
      <c r="C17" s="10" t="str">
        <v>15年以上</v>
      </c>
      <c r="D17" s="11" t="str">
        <v>●</v>
      </c>
      <c r="E17" s="12" t="str">
        <v>全所属で継続。物理サーバ約100台〜現在のEC2/コンテナまで</v>
      </c>
    </row>
    <row r="18" ht="30" customHeight="1">
      <c r="A18" s="18"/>
      <c r="B18" s="9" t="str">
        <v>Windows Server(2000 Server/2003/2008)/Active Directory</v>
      </c>
      <c r="C18" s="10" t="str">
        <v>約10年</v>
      </c>
      <c r="D18" s="11" t="str"/>
      <c r="E18" s="12" t="str">
        <v>社内AD・ファイルサーバの設計・構築・運用</v>
      </c>
    </row>
    <row r="19" ht="30" customHeight="1">
      <c r="A19" s="16" t="str">
        <v>ネットワーク・物理基盤</v>
      </c>
      <c r="B19" s="9" t="str">
        <v>ネットワーク設計・構築(Cisco/L2・L3スイッチ/VLAN/QoS)</v>
      </c>
      <c r="C19" s="10" t="str">
        <v>約4.5年</v>
      </c>
      <c r="D19" s="11" t="str"/>
      <c r="E19" s="12" t="str">
        <v>基幹NWリプレイス(L3SW 4台/L2SW 20台/Client 約1,500台)、認証DBシステムのNW構築</v>
      </c>
    </row>
    <row r="20" ht="19" customHeight="1">
      <c r="A20" s="17"/>
      <c r="B20" s="9" t="str">
        <v>物理サーバ構築・運用</v>
      </c>
      <c r="C20" s="10" t="str">
        <v>約6年</v>
      </c>
      <c r="D20" s="11" t="str"/>
      <c r="E20" s="12" t="str">
        <v>Server 約100台の社内インフラ、約30台の認証DBシステム</v>
      </c>
    </row>
    <row r="21" ht="19" customHeight="1">
      <c r="A21" s="18"/>
      <c r="B21" s="9" t="str">
        <v>F5 BIG-IP/FreeRADIUS</v>
      </c>
      <c r="C21" s="10" t="str">
        <v>約1.5年</v>
      </c>
      <c r="D21" s="11" t="str"/>
      <c r="E21" s="12" t="str">
        <v>公衆無線 Wi-Fi・ローミング認証基盤</v>
      </c>
    </row>
    <row r="22" ht="30" customHeight="1">
      <c r="A22" s="16" t="str">
        <v>ミドルウェア</v>
      </c>
      <c r="B22" s="9" t="str">
        <v>Apache HTTP Server/Nginx/Apache Tomcat</v>
      </c>
      <c r="C22" s="10" t="str">
        <v>約7年</v>
      </c>
      <c r="D22" s="11" t="str"/>
      <c r="E22" s="12" t="str">
        <v>Webサーバ・リバースプロキシ</v>
      </c>
    </row>
    <row r="23" ht="30" customHeight="1">
      <c r="A23" s="17"/>
      <c r="B23" s="9" t="str">
        <v>DNS(BIND/Route 53/SPF・DKIM・DMARC)</v>
      </c>
      <c r="C23" s="10" t="str">
        <v>約5年</v>
      </c>
      <c r="D23" s="11" t="str">
        <v>●</v>
      </c>
      <c r="E23" s="12" t="str">
        <v>社内DNS運用、ゾーン移管・メール認証設定</v>
      </c>
    </row>
    <row r="24" ht="19" customHeight="1">
      <c r="A24" s="18"/>
      <c r="B24" s="9" t="str">
        <v>Zabbix</v>
      </c>
      <c r="C24" s="10" t="str">
        <v>約1.5年</v>
      </c>
      <c r="D24" s="11" t="str"/>
      <c r="E24" s="12" t="str">
        <v>公衆無線 Wi-Fi 基盤の監視</v>
      </c>
    </row>
    <row r="25" ht="19" customHeight="1">
      <c r="A25" s="16" t="str">
        <v>DB</v>
      </c>
      <c r="B25" s="9" t="str">
        <v>Oracle Database</v>
      </c>
      <c r="C25" s="10" t="str">
        <v>約6年</v>
      </c>
      <c r="D25" s="11" t="str"/>
      <c r="E25" s="12" t="str">
        <v>社内システム・認証DB</v>
      </c>
    </row>
    <row r="26" ht="19" customHeight="1">
      <c r="A26" s="17"/>
      <c r="B26" s="9" t="str">
        <v>MySQL</v>
      </c>
      <c r="C26" s="10" t="str">
        <v>約5年</v>
      </c>
      <c r="D26" s="11" t="str"/>
      <c r="E26" s="12" t="str">
        <v>社内システム</v>
      </c>
    </row>
    <row r="27" ht="30" customHeight="1">
      <c r="A27" s="18"/>
      <c r="B27" s="9" t="str">
        <v>PostgreSQL(Supabase 含む)</v>
      </c>
      <c r="C27" s="10" t="str">
        <v>約2年</v>
      </c>
      <c r="D27" s="11" t="str">
        <v>●</v>
      </c>
      <c r="E27" s="12" t="str">
        <v>Wi-Fi 基盤の Web システム(2018〜19)、法人向けポータル(Supabase/RLS)</v>
      </c>
    </row>
    <row r="28" ht="19" customHeight="1">
      <c r="A28" s="16" t="str">
        <v>言語・フレームワーク</v>
      </c>
      <c r="B28" s="9" t="str">
        <v>Python</v>
      </c>
      <c r="C28" s="10" t="str">
        <v>約3.5年</v>
      </c>
      <c r="D28" s="11" t="str">
        <v>●</v>
      </c>
      <c r="E28" s="12" t="str">
        <v>ログ分析(PySpark)、予約システム、AIレポート</v>
      </c>
    </row>
    <row r="29" ht="19" customHeight="1">
      <c r="A29" s="17"/>
      <c r="B29" s="9" t="str">
        <v>JavaScript/Node.js/TypeScript</v>
      </c>
      <c r="C29" s="10" t="str">
        <v>約4.5年</v>
      </c>
      <c r="D29" s="11" t="str">
        <v>●</v>
      </c>
      <c r="E29" s="12" t="str">
        <v>Lambda、Shopifyアプリ、Next.js</v>
      </c>
    </row>
    <row r="30" ht="19" customHeight="1">
      <c r="A30" s="17"/>
      <c r="B30" s="9" t="str">
        <v>PowerShell</v>
      </c>
      <c r="C30" s="10" t="str">
        <v>約3.5年</v>
      </c>
      <c r="D30" s="11" t="str"/>
      <c r="E30" s="12" t="str">
        <v>Azure 環境の運用・自動化スクリプト(2020〜23)</v>
      </c>
    </row>
    <row r="31" ht="30" customHeight="1">
      <c r="A31" s="18"/>
      <c r="B31" s="9" t="str">
        <v>React/Next.js</v>
      </c>
      <c r="C31" s="10" t="str">
        <v>約1.5年</v>
      </c>
      <c r="D31" s="11" t="str">
        <v>●</v>
      </c>
      <c r="E31" s="12" t="str">
        <v>React: 会員向けマイページ(2022〜23)、Next.js: 法人向けポータル(2026年〜)</v>
      </c>
    </row>
    <row r="32" ht="30" customHeight="1">
      <c r="A32" s="16" t="str">
        <v>SaaS・外部API</v>
      </c>
      <c r="B32" s="9" t="str">
        <v>Shopify(Liquid/Admin API/App Proxy)</v>
      </c>
      <c r="C32" s="10" t="str">
        <v>約4.5年</v>
      </c>
      <c r="D32" s="11" t="str">
        <v>●</v>
      </c>
      <c r="E32" s="12" t="str">
        <v>EC+予約+会員基盤の構築・運用</v>
      </c>
    </row>
    <row r="33" ht="19" customHeight="1">
      <c r="A33" s="17"/>
      <c r="B33" s="9" t="str">
        <v>Vercel/Supabase</v>
      </c>
      <c r="C33" s="10" t="str">
        <v>1年未満</v>
      </c>
      <c r="D33" s="11" t="str">
        <v>●</v>
      </c>
      <c r="E33" s="12" t="str">
        <v>法人向けポータルの新規立ち上げ(2026年〜)</v>
      </c>
    </row>
    <row r="34" ht="30" customHeight="1">
      <c r="A34" s="17"/>
      <c r="B34" s="9" t="str">
        <v>Sesami/Zoom/Recharge/Klaviyo/Google Workspace の各API</v>
      </c>
      <c r="C34" s="10" t="str">
        <v>約3年</v>
      </c>
      <c r="D34" s="11" t="str">
        <v>●</v>
      </c>
      <c r="E34" s="12" t="str">
        <v>予約・配信・課金・メールの統合</v>
      </c>
    </row>
    <row r="35" ht="19" customHeight="1">
      <c r="A35" s="18"/>
      <c r="B35" s="9" t="str">
        <v>Playwright</v>
      </c>
      <c r="C35" s="10" t="str">
        <v>1年未満</v>
      </c>
      <c r="D35" s="11" t="str">
        <v>●</v>
      </c>
      <c r="E35" s="12" t="str">
        <v>E2E・管理画面の自動操作</v>
      </c>
    </row>
    <row r="36" ht="30" customHeight="1">
      <c r="A36" s="16" t="str">
        <v>AI活用</v>
      </c>
      <c r="B36" s="9" t="str">
        <v>Claude Code/MCP(Model Context Protocol)</v>
      </c>
      <c r="C36" s="10" t="str">
        <v>約1年</v>
      </c>
      <c r="D36" s="11" t="str">
        <v>●</v>
      </c>
      <c r="E36" s="12" t="str">
        <v>開発・運用の主軸。定型オペレーションを再利用可能な手順(スキル)として自動化し1名運用</v>
      </c>
    </row>
    <row r="37" ht="19" customHeight="1">
      <c r="A37" s="18"/>
      <c r="B37" s="9" t="str">
        <v>OpenAI API</v>
      </c>
      <c r="C37" s="10" t="str">
        <v>約3年</v>
      </c>
      <c r="D37" s="11" t="str">
        <v>●</v>
      </c>
      <c r="E37" s="12" t="str">
        <v>AIレポート生成基盤</v>
      </c>
    </row>
  </sheetData>
  <mergeCells>
    <mergeCell ref="A2:A6"/>
    <mergeCell ref="A7:A10"/>
    <mergeCell ref="A11:A16"/>
    <mergeCell ref="A17:A18"/>
    <mergeCell ref="A19:A21"/>
    <mergeCell ref="A22:A24"/>
    <mergeCell ref="A25:A27"/>
    <mergeCell ref="A28:A31"/>
    <mergeCell ref="A32:A35"/>
    <mergeCell ref="A36:A37"/>
  </mergeCells>
  <pageMargins left="0.75" right="0.75" top="1" bottom="1" header="0.5" footer="0.5"/>
  <pageSetup paperSize="9" fitToHeight="0" orientation="landscape"/>
</worksheet>
</file>